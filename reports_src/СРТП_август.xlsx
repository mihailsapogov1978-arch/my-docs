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hreadedComments/threadedComment1.xml" ContentType="application/vnd.ms-excel.threadedcomment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workbookProtection/>
  <bookViews>
    <workbookView xWindow="360" yWindow="15" windowWidth="20955" windowHeight="9720" activeTab="2"/>
  </bookViews>
  <sheets>
    <sheet name="ПЛАН" sheetId="1" state="hidden" r:id="rId2"/>
    <sheet name="СВОДНЫЙ ОТЧЁТ" sheetId="2" state="hidden" r:id="rId3"/>
    <sheet name="Количественная аналитика" sheetId="3" state="visible" r:id="rId4"/>
  </sheets>
  <calcPr refMode="A1" iterate="0" iterateCount="100" iterateDelta="0.000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tc={7A36D591-5026-A77C-731A-B42CBB4B07E6}</author>
    <author>tc={C0856490-28B3-ABE5-29E5-A3C8088F540A}</author>
    <author>tc={002000AF-0034-4B52-9945-006D00FE004D}</author>
    <author>tc={1BDAFC80-BEDF-6867-79E6-ED59D616EBB1}</author>
    <author>tc={FF7EC16E-B7C5-0BB9-54ED-10F49B6778C5}</author>
    <author>tc={DD9B5FF7-93FB-276C-D49B-4CC4B5EF50A7}</author>
    <author>tc={00AA0082-003A-472B-A959-00DF00CC0063}</author>
    <author>tc={AE6D22BC-4794-AEC7-9A56-C75D676CC73F}</author>
    <author>tc={85302ABA-13AF-017C-64EA-B4CD87FF48B2}</author>
    <author>tc={0094005F-0037-4F66-8159-00510022002F}</author>
    <author>tc={00020045-0050-40B5-A0A5-007200AC009C}</author>
    <author>tc={21829C90-2351-64A3-EDAB-E15EA5203A47}</author>
    <author>tc={A4D9EA6B-4076-9C83-27C9-68F5FB1BAEB4}</author>
    <author>tc={4C5BF61B-4513-0474-D250-373EBE2357E9}</author>
    <author>tc={9065D3B8-FB63-4CD9-5264-06F340BD7F72}</author>
    <author>tc={004900C1-0053-4DE6-8AE6-00A400B2004F}</author>
    <author>tc={000900F5-000D-4EDA-94D6-008B00A0001F}</author>
    <author>tc={02FD8472-F1C4-F0C2-60B9-3395153A7DEB}</author>
    <author>tc={7465DE8B-76AC-86A1-7DEE-F48BE5D11476}</author>
    <author>tc={F68BD222-A06E-CDBF-6BEB-CF50AC5E94F4}</author>
    <author>tc={001A002A-0010-487E-BA9E-00B00046002F}</author>
    <author>tc={003C0073-003C-4CED-9E88-00F7009C00BC}</author>
    <author>tc={008A001E-009E-486A-9A5C-00DD001700EE}</author>
    <author>tc={00E50023-00CA-4AB6-8EF5-00D500A9003F}</author>
    <author>tc={00A000A9-00A5-48E3-9C8D-007B00D30010}</author>
    <author>tc={DCDBF670-F4B6-EAAF-2170-098A2C828275}</author>
    <author>tc={6D23C66C-3DBA-A955-6A96-EF878D0394E3}</author>
    <author>tc={00CB006A-0085-47DD-982A-001100A00041}</author>
    <author>tc={00250091-00BE-4DE6-BA12-00A00047009C}</author>
    <author>tc={C40C920B-F22E-EDE2-6D14-8650659E438D}</author>
    <author>tc={CF35F684-2E1E-D153-0160-6A7C57A6D593}</author>
    <author>tc={D5F8F225-5BA4-8293-2EDD-BA832E3B195F}</author>
    <author>tc={972CEB12-3D8C-0650-1EC2-07980699E6E2}</author>
    <author>tc={00400002-0061-4130-9874-003E00660067}</author>
    <author>tc={C7FBC54C-94C2-4926-9F8B-7830A73CF4A4}</author>
    <author>tc={FC1BBD68-50DD-C2A2-B2C0-F186DCA51F97}</author>
    <author>tc={006400B8-0078-4122-84E6-00CF007D0035}</author>
    <author>tc={00EB00C1-00FD-494F-9951-009200CA0018}</author>
    <author>tc={4E964E8C-682D-A3DA-FD4A-68F6E85BAAD3}</author>
    <author>tc={AE330CE0-7D89-5678-42E8-533586FAF8E5}</author>
  </authors>
  <commentList>
    <comment ref="BS11" authorId="0" xr:uid="{7A36D591-5026-A77C-731A-B42CBB4B07E6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Кошик
</t>
        </r>
      </text>
    </comment>
    <comment ref="BU12" authorId="1" xr:uid="{C0856490-28B3-ABE5-29E5-A3C8088F540A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Кошик, Гасанов
</t>
        </r>
      </text>
    </comment>
    <comment ref="C3" authorId="2" xr:uid="{002000AF-0034-4B52-9945-006D00FE004D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BQ3" authorId="3" xr:uid="{1BDAFC80-BEDF-6867-79E6-ED59D616EBB1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T3" authorId="4" xr:uid="{FF7EC16E-B7C5-0BB9-54ED-10F49B6778C5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U3" authorId="5" xr:uid="{DD9B5FF7-93FB-276C-D49B-4CC4B5EF50A7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C4" authorId="6" xr:uid="{00AA0082-003A-472B-A959-00DF00CC0063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BP4" authorId="7" xr:uid="{AE6D22BC-4794-AEC7-9A56-C75D676CC73F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U4" authorId="8" xr:uid="{85302ABA-13AF-017C-64EA-B4CD87FF48B2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Мулявин
</t>
        </r>
      </text>
    </comment>
    <comment ref="C5" authorId="9" xr:uid="{0094005F-0037-4F66-8159-00510022002F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E5" authorId="10" xr:uid="{00020045-0050-40B5-A0A5-007200AC009C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МС
</t>
        </r>
      </text>
    </comment>
    <comment ref="BP5" authorId="11" xr:uid="{21829C90-2351-64A3-EDAB-E15EA5203A47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T5" authorId="12" xr:uid="{A4D9EA6B-4076-9C83-27C9-68F5FB1BAEB4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V5" authorId="13" xr:uid="{4C5BF61B-4513-0474-D250-373EBE2357E9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Ставер, Лычев, Ананьев
</t>
        </r>
      </text>
    </comment>
    <comment ref="BW5" authorId="14" xr:uid="{9065D3B8-FB63-4CD9-5264-06F340BD7F72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Ставер, Ананьев
</t>
        </r>
      </text>
    </comment>
    <comment ref="E6" authorId="15" xr:uid="{004900C1-0053-4DE6-8AE6-00A400B2004F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F6" authorId="16" xr:uid="{000900F5-000D-4EDA-94D6-008B00A0001F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МС
</t>
        </r>
      </text>
    </comment>
    <comment ref="BP6" authorId="17" xr:uid="{02FD8472-F1C4-F0C2-60B9-3395153A7DEB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T6" authorId="18" xr:uid="{7465DE8B-76AC-86A1-7DEE-F48BE5D11476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U6" authorId="19" xr:uid="{F68BD222-A06E-CDBF-6BEB-CF50AC5E94F4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7" authorId="20" xr:uid="{001A002A-0010-487E-BA9E-00B00046002F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МЧ
</t>
        </r>
      </text>
    </comment>
    <comment ref="C7" authorId="21" xr:uid="{003C0073-003C-4CED-9E88-00F7009C00BC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МЧ+АР
</t>
        </r>
      </text>
    </comment>
    <comment ref="D7" authorId="22" xr:uid="{008A001E-009E-486A-9A5C-00DD001700EE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МЧ+АР
</t>
        </r>
      </text>
    </comment>
    <comment ref="E7" authorId="23" xr:uid="{00E50023-00CA-4AB6-8EF5-00D500A9003F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F7" authorId="24" xr:uid="{00A000A9-00A5-48E3-9C8D-007B00D30010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МС
</t>
        </r>
      </text>
    </comment>
    <comment ref="BP7" authorId="25" xr:uid="{DCDBF670-F4B6-EAAF-2170-098A2C828275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Кошик, Гасанов
</t>
        </r>
      </text>
    </comment>
    <comment ref="BT7" authorId="26" xr:uid="{6D23C66C-3DBA-A955-6A96-EF878D0394E3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E8" authorId="27" xr:uid="{00CB006A-0085-47DD-982A-001100A00041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F8" authorId="28" xr:uid="{00250091-00BE-4DE6-BA12-00A00047009C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BP8" authorId="29" xr:uid="{C40C920B-F22E-EDE2-6D14-8650659E438D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Кошик, Гасанов
</t>
        </r>
      </text>
    </comment>
    <comment ref="BR8" authorId="30" xr:uid="{CF35F684-2E1E-D153-0160-6A7C57A6D593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Кошие, Гасанов
</t>
        </r>
      </text>
    </comment>
    <comment ref="BT8" authorId="31" xr:uid="{D5F8F225-5BA4-8293-2EDD-BA832E3B195F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U8" authorId="32" xr:uid="{972CEB12-3D8C-0650-1EC2-07980699E6E2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Ставер, Лычев, Ананьев
</t>
        </r>
      </text>
    </comment>
    <comment ref="D9" authorId="33" xr:uid="{00400002-0061-4130-9874-003E00660067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BP9" authorId="34" xr:uid="{C7FBC54C-94C2-4926-9F8B-7830A73CF4A4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Кошик, Гасанов
</t>
        </r>
      </text>
    </comment>
    <comment ref="BR9" authorId="35" xr:uid="{FC1BBD68-50DD-C2A2-B2C0-F186DCA51F97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Кошик
</t>
        </r>
      </text>
    </comment>
    <comment ref="E10" authorId="36" xr:uid="{006400B8-0078-4122-84E6-00CF007D0035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F10" authorId="37" xr:uid="{00EB00C1-00FD-494F-9951-009200CA0018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МС
</t>
        </r>
      </text>
    </comment>
    <comment ref="BQ10" authorId="38" xr:uid="{4E964E8C-682D-A3DA-FD4A-68F6E85BAAD3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T10" authorId="39" xr:uid="{AE330CE0-7D89-5678-42E8-533586FAF8E5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Лычев, Ананьев, Ставер
</t>
        </r>
      </text>
    </comment>
  </commentList>
</comments>
</file>

<file path=xl/sharedStrings.xml><?xml version="1.0" encoding="utf-8"?>
<sst xmlns="http://schemas.openxmlformats.org/spreadsheetml/2006/main" count="386" uniqueCount="386">
  <si>
    <t xml:space="preserve">Ноябрь 2024</t>
  </si>
  <si>
    <t xml:space="preserve">Декабрь 2024</t>
  </si>
  <si>
    <t xml:space="preserve">Январь 2025</t>
  </si>
  <si>
    <t xml:space="preserve">Февраль 2025</t>
  </si>
  <si>
    <t xml:space="preserve">МАРТ 2025</t>
  </si>
  <si>
    <t xml:space="preserve">АПРЕЛЬ 2025</t>
  </si>
  <si>
    <t xml:space="preserve">Июня 2025</t>
  </si>
  <si>
    <t xml:space="preserve">Август 2025</t>
  </si>
  <si>
    <t xml:space="preserve">Сентябрь 2025</t>
  </si>
  <si>
    <t xml:space="preserve">Октябрь 2025</t>
  </si>
  <si>
    <t xml:space="preserve">Ноябрь 2025</t>
  </si>
  <si>
    <t xml:space="preserve">Декабрь, 2025</t>
  </si>
  <si>
    <t xml:space="preserve">ФЕВРАЛЬ 2026</t>
  </si>
  <si>
    <t xml:space="preserve">МАРТ 2026</t>
  </si>
  <si>
    <t xml:space="preserve">АПРЕЛЬ 2026</t>
  </si>
  <si>
    <t xml:space="preserve">МАЙ 2026</t>
  </si>
  <si>
    <t xml:space="preserve">ИЮНЬ 2026</t>
  </si>
  <si>
    <t xml:space="preserve">ИЮЛЬ 2026</t>
  </si>
  <si>
    <t>28.10-03.11</t>
  </si>
  <si>
    <t>04.11-10.11</t>
  </si>
  <si>
    <t>11.11-17.11</t>
  </si>
  <si>
    <t>18.11-24.11</t>
  </si>
  <si>
    <t>25.11-01.12</t>
  </si>
  <si>
    <t>02.12-08.12</t>
  </si>
  <si>
    <t>09.12-15.12</t>
  </si>
  <si>
    <t>16.12-24.12</t>
  </si>
  <si>
    <t>25.12-12.01</t>
  </si>
  <si>
    <t>13.01-19.01</t>
  </si>
  <si>
    <t>20.01-24.01</t>
  </si>
  <si>
    <t>25.12-02.02</t>
  </si>
  <si>
    <t>03.02-09.02</t>
  </si>
  <si>
    <t>10.02-16.02</t>
  </si>
  <si>
    <t>17.02-24.02</t>
  </si>
  <si>
    <t>25.02-02.03</t>
  </si>
  <si>
    <t>03.03-09.03</t>
  </si>
  <si>
    <t>10.03-16.03</t>
  </si>
  <si>
    <t>17.03-24.03</t>
  </si>
  <si>
    <t>25.03-30.03</t>
  </si>
  <si>
    <t>31.03-06.04</t>
  </si>
  <si>
    <t>07.04-13.04</t>
  </si>
  <si>
    <t>14.04-24.04</t>
  </si>
  <si>
    <t>25.04-04.05</t>
  </si>
  <si>
    <t>05.05-11.05</t>
  </si>
  <si>
    <t>12.05-18.05</t>
  </si>
  <si>
    <t>19.05-24.05</t>
  </si>
  <si>
    <t>25.05-01.06</t>
  </si>
  <si>
    <t>02.06-08.06</t>
  </si>
  <si>
    <t>09.06-15.06</t>
  </si>
  <si>
    <t>16.06-24.06</t>
  </si>
  <si>
    <t>25.07-03.08</t>
  </si>
  <si>
    <t>04.08-10.08</t>
  </si>
  <si>
    <t>11.08-17.08</t>
  </si>
  <si>
    <t>18.08-24.08</t>
  </si>
  <si>
    <t>25.08-31.08</t>
  </si>
  <si>
    <t>01.09-07.09</t>
  </si>
  <si>
    <t>08.09-14.09</t>
  </si>
  <si>
    <t>15.09-24.09</t>
  </si>
  <si>
    <t>25.09-05.10</t>
  </si>
  <si>
    <t>06.10-12.10</t>
  </si>
  <si>
    <t>13.10-19.10</t>
  </si>
  <si>
    <t>20.10-24.10</t>
  </si>
  <si>
    <t>25.10-02.11</t>
  </si>
  <si>
    <t>03.11-09.11</t>
  </si>
  <si>
    <t>10.11-16.11</t>
  </si>
  <si>
    <t>17.11-24.11</t>
  </si>
  <si>
    <t>25.11-30.11</t>
  </si>
  <si>
    <t>01.12-07.12</t>
  </si>
  <si>
    <t>08.12-14.12</t>
  </si>
  <si>
    <t>15.12-24.12</t>
  </si>
  <si>
    <t>25.01-01.02</t>
  </si>
  <si>
    <t>02.02-08.02</t>
  </si>
  <si>
    <t>09.02-15.02</t>
  </si>
  <si>
    <t>16.02-24.02</t>
  </si>
  <si>
    <t>25.02-01.03</t>
  </si>
  <si>
    <t>02.03-08.03</t>
  </si>
  <si>
    <t>09.03-15.03</t>
  </si>
  <si>
    <t>16.03-24.03</t>
  </si>
  <si>
    <t>25.03-05.04</t>
  </si>
  <si>
    <t>06.04-12.04</t>
  </si>
  <si>
    <t>13.04-19.04</t>
  </si>
  <si>
    <t>20.04-24.04</t>
  </si>
  <si>
    <t>25.04-03.05</t>
  </si>
  <si>
    <t>04.05-10.05</t>
  </si>
  <si>
    <t>11.05-17.05</t>
  </si>
  <si>
    <t>18.05-24.05</t>
  </si>
  <si>
    <t>25.05-31.05</t>
  </si>
  <si>
    <t>01.06-07.06</t>
  </si>
  <si>
    <t>08.06-14.06</t>
  </si>
  <si>
    <t>15.06-24.06</t>
  </si>
  <si>
    <t>25.06-05.07</t>
  </si>
  <si>
    <t>06.07-12.07</t>
  </si>
  <si>
    <t>13.07-19.07</t>
  </si>
  <si>
    <t>20.07-24.07</t>
  </si>
  <si>
    <t xml:space="preserve">Направлен ежемесячный отчёт ФГИСКИ</t>
  </si>
  <si>
    <t xml:space="preserve">Подготовлен приказ и актуализированы (23 документа) ОРД в соответствии с резолюцией.</t>
  </si>
  <si>
    <t xml:space="preserve">Настроено ЕОП: Аппарат. Найдена уязвимость по информационной безопасности. </t>
  </si>
  <si>
    <t xml:space="preserve">Заключено дополнительное соглашение на аренду аппаратных мощностоей (до 2025 года)</t>
  </si>
  <si>
    <t xml:space="preserve">Направлен отчёт ПИ24</t>
  </si>
  <si>
    <t xml:space="preserve">Проведена работа по развёртыванию новых 4 серверов (ИИ, Бот, Сервер баз данны, сервер приложений), заключено дополнительное соглашение</t>
  </si>
  <si>
    <t xml:space="preserve">Подготовлено ТЗ на реализацию функционала отправки электронной отчётности</t>
  </si>
  <si>
    <t xml:space="preserve">Выполнена подготовка к переносу баз данных по ЗП учреждений здравоохранения. Разделение едниной базы на множество по учреждениям</t>
  </si>
  <si>
    <t xml:space="preserve">Проведён анализ формирования пакетов с типом «Отчет об имуществе» в Государственных учреждениях для дальнейшей отправки в ГИС Имущество. Консультации в исправлении ошибок учета ОС и помощь в написании заявок в Фаргус и НПО Криста. Тестовая выгрузка совместно с сотрудниками Департамента Имущества</t>
  </si>
  <si>
    <t xml:space="preserve">Перенос остатков ЯМАЛСПАС на 01.01.2025, при смене формы организации юридического лица</t>
  </si>
  <si>
    <t xml:space="preserve">Выполнено тестирование Личного кабинета в части подписания документов 61н КЭП</t>
  </si>
  <si>
    <t xml:space="preserve">Проведено ВКС на тему реинжиниринга аппаратных мощностей, обеспечивающие серверные функции ГИС "Смета ЯНАО"</t>
  </si>
  <si>
    <t xml:space="preserve">Настроено Единое окно подписания на 29 БД</t>
  </si>
  <si>
    <t xml:space="preserve">Внесены изменения в план информатизации: добавлено 2 мероприятия, разработана схема взаимодействия в нотации bpm, изменены 2 мероприятия (увеличены суммы и количество организаций)</t>
  </si>
  <si>
    <t xml:space="preserve">Успешно апробирован плагин подписания документов (КЭП) в Веб-Смете. Соблюдена полная совместимость плагина Веб-Сметы и ЛК. Теперь есть поддержка для РЕД ОС 8</t>
  </si>
  <si>
    <t xml:space="preserve">Выполнены настройки по новым документам в ГИС "СМЕТА ЯНАО": Инвентаризация БСО, Карточка справка электронное подписание</t>
  </si>
  <si>
    <t xml:space="preserve">Выполнена настройка 25 баз данных для согласования уведомлений МБТ от МО к ОУи ЦБ</t>
  </si>
  <si>
    <t xml:space="preserve">Выполнена настройка с МЧД для отправки отчётности с федеральную налоговую службу. Проведена работа с ИО по получению открытых ключей КЭП, диагностике ошибок канала связи: Смета-Астрал-ФНС</t>
  </si>
  <si>
    <t xml:space="preserve">Направлен отчёт "Затраты на ПО и меры поддержки IT-проектов"</t>
  </si>
  <si>
    <t xml:space="preserve">Сформирован и направлен реестр данных по импортозамещению</t>
  </si>
  <si>
    <t xml:space="preserve">Актуализировано ТЗ на сопровождение ГИС "Смета ЯНАО"</t>
  </si>
  <si>
    <t xml:space="preserve">Подготовлено ТЗ на выполнение работ по развитию ГИС «Смета ЯНАО» в части обеспечения электронного взаимодействия с внешней информационной системой ГИС «Имущество ЯНАО»</t>
  </si>
  <si>
    <t xml:space="preserve">Подготвлена 1-я редакция техтребований на выполнение работ по разивитию ГИС "Смета ЯНАО" в части администрирования (Принцип nsi.yanao.ru) </t>
  </si>
  <si>
    <t xml:space="preserve">Подготовлено финансово-экомические обоснования: Интеграция с ТЕЗИС, ЕСКУ, Сопровождение ГИС "Смета ЯНАО" в 2026</t>
  </si>
  <si>
    <t xml:space="preserve">Подготовлен перечень функционала для делегирования и перераспределения сотрудников отдела IT в случае отвлечений</t>
  </si>
  <si>
    <t xml:space="preserve">Подготовлены бизнес-требования интеграции ЛКиЛКггс</t>
  </si>
  <si>
    <t xml:space="preserve">Разработан сервис для получения в реальном времени количественных показателей -  обработанных файлов - вложлений подотчётных первичных документов искусственным интеллектом. Итерация 1</t>
  </si>
  <si>
    <t xml:space="preserve">Подготовлено ТЗ Кросс-подписание</t>
  </si>
  <si>
    <t xml:space="preserve">ЛК: обновлён интерфейс, автоматическое распознавание по умолчанию, автоматическая классификация, добавлена возможность распознавания проездных документов по транспорту (вертолет, автобус, дополнительные виды жд билетов), добавлен форматно-логический контроль заполнения формы</t>
  </si>
  <si>
    <t xml:space="preserve">Утверждён план работ по развитию Сметы в части администрирования. Проводится работа по подготовке MVP на примере выборочный БД</t>
  </si>
  <si>
    <t xml:space="preserve">Проведена коррекция плана информатизации 2025</t>
  </si>
  <si>
    <t xml:space="preserve">Проведено тестирование Веб-Смета 2.0. Подготовлен список замечаний (28)</t>
  </si>
  <si>
    <r>
      <rPr>
        <sz val="8"/>
        <color theme="1"/>
        <rFont val="Arial"/>
      </rPr>
      <t xml:space="preserve">Разработана концепция единого сервера обновлений Сметы для всех участников бюджетного процесса (стабильная ветка), экспериментальная ветка обновлений (ЦБ). Практическое применение после обновления ЭДО и тестирования. В </t>
    </r>
    <r>
      <rPr>
        <b/>
        <sz val="8"/>
        <color theme="1"/>
        <rFont val="Arial"/>
      </rPr>
      <t xml:space="preserve">РЕЗУЛЬТАТЕ: для любого подключения из РМТКС - ЕДИНЫЙ СЕРВЕР ОБНОВЛЕНИЙ СМЕТЫ, как стабильной ветки, так и экспериментальной</t>
    </r>
  </si>
  <si>
    <t xml:space="preserve">сервис telemost.yanao.ru теперь доступен везде где установлена Смета, направлено письмо для популяризации сервиса в исполнительные органы в ЯНАО</t>
  </si>
  <si>
    <t xml:space="preserve">Разработано ТЗ по получению справок об обучении через витрину данных Образования (СМЭВ), проработаны вопросы и учтены предложения Исполнителя</t>
  </si>
  <si>
    <t xml:space="preserve">Подготовлен проект ТЗ на слияние баз данных ГИС "Смета ЯНАО" отдельных муниципальных учреждений</t>
  </si>
  <si>
    <t xml:space="preserve">ЕСИА выполнены запросы КП на пусконаладочные работы программного модуля НТЦК для интеграции с ФГИС ЕСИА, найдено как минимум одно рабочее решение. Работа продолжается</t>
  </si>
  <si>
    <t xml:space="preserve">Проведены исследования по автоматическому подписанию квалифицированной электронной подписью на стороннем сервисе любых документов. Модель соответствует требованиям по информационной безопасности, возможна реализация собственными силами учреждения </t>
  </si>
  <si>
    <t xml:space="preserve">Развёрнут тестовый контур интеграции Смета-Тезис. Успешно выполнено подключение между серверами, реализована модель аутентификации </t>
  </si>
  <si>
    <t xml:space="preserve">Подготовлен чек-лист сопровождения работы сервиса подотчётных лиц</t>
  </si>
  <si>
    <t xml:space="preserve">Подготовлена информация по муниципальным образованиям в ЯНАО в части детализации отображения сведений по заработной плате руководителей на fa.yanao.ru</t>
  </si>
  <si>
    <t xml:space="preserve">Проведена приёмка функционала самоадминистрирования баз данных ГИС "Смета ЯНАО" на примере тестовой базы и исключительно в тонком клиенте. Замечаний не зафиксировано</t>
  </si>
  <si>
    <t xml:space="preserve">Сформулированы функциональные требования и разработана архитектура будущего приложения с связке с SDK "Адаптер Инфраструктуры" для интеграции сервиса подотчётных лиц с ФГИС ЕСИА. Проведено установочное совещание на котором распределены роли и задачи для НПО Криста и Ставеру А.П.</t>
  </si>
  <si>
    <t xml:space="preserve">Направлен отчёт: ФГИСКИ</t>
  </si>
  <si>
    <t xml:space="preserve">ЕСИА: Развёрнут контур подключения на рабочих серверах, передано управление НПО "Криста" для интеграции ЛК</t>
  </si>
  <si>
    <t xml:space="preserve">Актуализировано ТЗ по мероприятию: Оказание услуг по настройке ГИС «Смета ЯНАО» в части электронного взаимодействия (интеграции) с внешней информационной системой ГИС «Имущество ЯНАО»</t>
  </si>
  <si>
    <t xml:space="preserve">Направленная ранее заявка в Федеральный институт промышленной собственности успешно отработана; проводится работа по корректировке(совместно А.А. Черновым)</t>
  </si>
  <si>
    <t xml:space="preserve">Отправлен отчёт по ЕСКУ</t>
  </si>
  <si>
    <t xml:space="preserve">ЕСИА: Реализовать функционал репликаций учётных записей в сводную БД по СНИЛС в двух режимах: планировщик, в ручном режиме</t>
  </si>
  <si>
    <t xml:space="preserve">Добавлен функционал ЕОП для руководителей структурных подразделений (Дитис БД)</t>
  </si>
  <si>
    <t xml:space="preserve">Исправлены ошибки и протестирован импорт документов из ЕИС</t>
  </si>
  <si>
    <t xml:space="preserve">Разработан чат-бот. Функционал: загрузка баз данных новых участников бухгалтерского бюджетного процесса, ознакомление с информацией для новых пользователей Сметы, выполнена работа по развёртыванию как модуль ГИС Смета ЯНАО. Подробнее: Rev01:
&gt; подключено СУБД (couchdb)
&gt; фиксируются новые пользователи при старте бота с унифицированной структурой, (т.е. новые пользователи могут менять роли)
&gt; добавлен интерфейс мандатных-пользователей
&gt; добавлен интерфейс Техподдержки
&gt; реализован обмен файлами
&gt; реализован функционал скрытия меню, обновления диалогов (MessageCleaner)
&gt; реализованы методы создания и обновления документов в БД
&gt; реализованы сценарии для пользователей групп: admin, users, mandatory, fargos
&gt; реализована точка входа для интеграции с ИИ (endpoint): чтение чатов и реагирование на сообщения
&gt; контейнеризация баз данных (docker)
&gt; FAQ
&gt; функционал для обновления бота</t>
  </si>
  <si>
    <t xml:space="preserve">разработан интерфейс для создания новых мандатных пользователей для тер.менеджеров (чат-бот)</t>
  </si>
  <si>
    <t xml:space="preserve">Выполнено тестирование функционала обмена ГИС Смета и ГИС Имущество с разнями типами пакетов</t>
  </si>
  <si>
    <t xml:space="preserve">Консультация пользователей ГИС Смета по работе функционала обмена данными с ГИС Имущество</t>
  </si>
  <si>
    <t xml:space="preserve">Разрабатываем единый механизм учета "Аренда жилищного фонда" для муниципалитетов,  начали отрабатывать данный механизм на базе МКУ "Городской центр имущественных и жилищных отношений". Ведутся работы по переносу остатков из разных программных продуктов (Смета и 1С БГУ, ГИС Жилфонд, Excel).</t>
  </si>
  <si>
    <t xml:space="preserve">Уведомления: разработан протокол  описание уведомлений по 30 документам</t>
  </si>
  <si>
    <t xml:space="preserve">Направлен отчёт "Импортонезависимое ПО"</t>
  </si>
  <si>
    <t xml:space="preserve">Настроено ЕОП на базах данных субъектов централизованного учёта</t>
  </si>
  <si>
    <t xml:space="preserve">Направлен и принят отчёт 3-информ РОССТАТ</t>
  </si>
  <si>
    <t xml:space="preserve">Успешно внедрён ЛК+ИИ с конфигураций синхронных запросов, распознавания на отчётах о расходах и модальным окном для опционального распознавания</t>
  </si>
  <si>
    <t xml:space="preserve">Проведен ВКС: внедрение уведомлений субъектами нецентрализованного учёта</t>
  </si>
  <si>
    <t xml:space="preserve">Выполнены настройки по новому документу в ГИС "СМЕТА ЯНАО": Исходящий счет бух.справка</t>
  </si>
  <si>
    <t xml:space="preserve">Подготовлены технические требования на реализацию функционала работы с документами между участниками разных баз данных Сметы</t>
  </si>
  <si>
    <t xml:space="preserve">Подготовлено ТЗ на интеграцию с ГИС Имущество</t>
  </si>
  <si>
    <t xml:space="preserve">Направлена первая редакция предварительного плана информатизации 2026, утверждено, включены мероприятия: Госфинансы, Росдормониторинг, Сопровождение, Интеграция с ГИС АПК </t>
  </si>
  <si>
    <t xml:space="preserve">Подготвлена 1-я редакция техтребований на выполнение работ по разивитию ГИС "Смета ЯНАО" в части кросс-подписания электронных документов между пользователями разных баз данных</t>
  </si>
  <si>
    <t xml:space="preserve">Направлено письмо в ДИТИС О рассмотрении вопроса о закупке программно-аппаратного комплекса для интеграции с ЕСИА</t>
  </si>
  <si>
    <t xml:space="preserve">Выполнена приёмка ГК: ППО</t>
  </si>
  <si>
    <t xml:space="preserve">Выполнена приёмка ГК: Наградной отдел</t>
  </si>
  <si>
    <t xml:space="preserve">Подготовлено ТЗ "Специфика хозопераций МУ-учреждений"</t>
  </si>
  <si>
    <t xml:space="preserve">Подготовлено ТЗ на оказание услуг по настройке функционала ГИС «Смета ЯНАО» под специфику хоз. операций МУ </t>
  </si>
  <si>
    <t xml:space="preserve">Разработан типовой шаблон ТЗ</t>
  </si>
  <si>
    <t xml:space="preserve">Проведена совместная с ГКУ "Ресурсы Ямала" работа по переходу на использование Smeta-координатора ViPNet для устранения ошибок подключения удалённых пользователей</t>
  </si>
  <si>
    <t xml:space="preserve">Подготовлено ТЗ для интеграции с ГИС Образования Ямала через витрину данных Образования для получения справок об обучении школьников (для льготного отпуска).</t>
  </si>
  <si>
    <t xml:space="preserve">Подготовлена служебная записка о вводе в эксплуатацию программного обеспечения для удалённого доступа</t>
  </si>
  <si>
    <t xml:space="preserve">Подготовлен Dashboard на основе BI-данных</t>
  </si>
  <si>
    <t xml:space="preserve">Направлен отчёт: Затраты на ПО и меры поддержки ИТ-проектов</t>
  </si>
  <si>
    <t xml:space="preserve">Проработаны вопросы и учтены предложения Исполнителя по ТЗ Росдормониторинг</t>
  </si>
  <si>
    <t xml:space="preserve">Подготовлены предложения по внедрению новых прикладных сервисов, основанных на использовании массивов больших данных</t>
  </si>
  <si>
    <t xml:space="preserve">Выполнена работа по поиску и устранению  причин неработоспособности ЛК-сервиса в связке с  модулем ИИ и системой мониторинга процессов. Добавлен функционал превентивного мониторинга посредством оповещения в чат-бот о проблемах с сервисами</t>
  </si>
  <si>
    <t xml:space="preserve">Сформирован и направлен отчет 3-информ</t>
  </si>
  <si>
    <t xml:space="preserve">Подготовлено письмо в депфин о содействии в присоединении к личному кабинету участника взаимодействия департамента финансов</t>
  </si>
  <si>
    <t xml:space="preserve">Подготовлено ТЗ по слиянию баз данных</t>
  </si>
  <si>
    <t xml:space="preserve">Разработана схема интеграции по направлению Смета-АПК в части подписания всех запросов квалифицированной электронной подписью </t>
  </si>
  <si>
    <t xml:space="preserve">Направлен отчёт: затраты на ПО и меры поддержки ИТ проектов</t>
  </si>
  <si>
    <t xml:space="preserve">Проведена работа по поиску и устранению ошибок сервиса telemost.yanao.ru. Работа сервиса восстановлена после изменения IP и включения паравиртуализации </t>
  </si>
  <si>
    <t xml:space="preserve">Проработана схема интеграции ГИС РЭБ ЯНАО (Исполнение) с ГИС "Смета ЯНАО" в части заявок на межбюджетный трансферт</t>
  </si>
  <si>
    <t xml:space="preserve">Подготовлена расширенная модель интеграции ГИС "РЭБ ЯНАО" и ГИС "Смета ЯНАО" в части межбюджетных трансфертов</t>
  </si>
  <si>
    <t xml:space="preserve"> </t>
  </si>
  <si>
    <t xml:space="preserve">Выполнены тестовые испытия промышленной ЕСИА, модифицирован код API-серверов, добавлены сертификаты удостостоверяющих центров</t>
  </si>
  <si>
    <t xml:space="preserve">ЕСИА: Выполнено кэширование закрытого ключа в КриптоПро</t>
  </si>
  <si>
    <t xml:space="preserve">ЕСИА: Выполнен контрольный тест сценариев ЛК: 1. Регистрация и авторизация не имеет значения, пользьзователь просто входит если есть права доступа на БД. 2. Обработка ислючительных ситуаций: Если пользователя нет ни в одной БД по СНИЛС, то сообщение об ошибке; Если пользователь найден в одной организации - автоматический вход; Если пользователь найден в нескольких организациях - выбор организации для входа</t>
  </si>
  <si>
    <t xml:space="preserve">ЕСИА: Модифицирован метод logout для отзыва сессии ЕСИА</t>
  </si>
  <si>
    <t xml:space="preserve">Направлен ежемесячный отчёт (Импортозамещение)</t>
  </si>
  <si>
    <t xml:space="preserve">Исправлены ошибки и протестирован импорт документов из РКС. На тестовой базе пока – у Якуты на проверке в части корректного отражения счетов </t>
  </si>
  <si>
    <t xml:space="preserve">Выполнена работа по анализу архитектуры защищённой сети в связи с поступающими сигналами: 1. Регулярная потеря связи у разработчика (Техфаргос) 2. Предстоящее экстенсивное программное порабощение 800+ учреждений в 25-26 годах. Данные рекомендации (1), сделать доступ к серверу приложений по TLS (2). Кроме этого, при новой схеме требуется переработать способ удалённого подключения разработчика к пользователям Сметы </t>
  </si>
  <si>
    <t xml:space="preserve">Проведена совместная работа отделом аудита по разработке новой версии положения о ГИС Смета ЯНАО</t>
  </si>
  <si>
    <t xml:space="preserve">Выполнена приёмка ГК на развитие ЛК</t>
  </si>
  <si>
    <t xml:space="preserve">Опытная эксплуатация нового функцоинала ЛК на БД ЦБ: работа над ошибками</t>
  </si>
  <si>
    <t xml:space="preserve">Проведена работа по поиску и устранению инцидентов доступности сервера авторизации ГИС Смета ЯНАО: найден конфликт сетевых адресов, исправлен способ взаимодействия узла Сметы и координаторов новых участников</t>
  </si>
  <si>
    <t xml:space="preserve">Проведено тестирование чат-бота (версия 1.2)</t>
  </si>
  <si>
    <t xml:space="preserve">Проведена работа по тестированию ИИ в smeta.yanao.ru: найдены ошибки устраняются в настоящее время, срок -  орфографические ошибки распознавания (если среднее качество ближе к 200dpi)
- логические ошибки, связанные с датами
- проблема связанная со с несколькими маршрутами в одной м. квитанции 2. 2. </t>
  </si>
  <si>
    <t xml:space="preserve">Департамент соцзащиты: Обнуление остатков на 01.01.2025 г. Консультации по внесению корректных остатков на 01.01.2025 г. и дальнейшей работы с ГИС Смета</t>
  </si>
  <si>
    <t xml:space="preserve">Уведомления – выполнена настройка и тестирование уведомлений для проездных документов, для 28 баз ИО. Частично выполнена настройка и тестирование уведомлений по документам 61н. Подготовлена  инструкця по добавлению чат бота для уведомлений.</t>
  </si>
  <si>
    <t xml:space="preserve">Настроена видимость по выплатам на карты МИР на базах данных субъектов централизованного учёта</t>
  </si>
  <si>
    <t xml:space="preserve">Обновлено хост-приложение и интерфейс для подписания КЭП в ЛК, а также функционал дорожной карты бизнес-процессов</t>
  </si>
  <si>
    <t xml:space="preserve">Реализован функционал "права настройщика". Функционал позволяет наиболее гибко и оперативно отлаживать настройки документооборота</t>
  </si>
  <si>
    <t xml:space="preserve">Настроены уведомления по 10 документам 61н на 29 бд</t>
  </si>
  <si>
    <t xml:space="preserve">Подготовлена инструкция для специалистов учреждений МО и ОУ по созданию и отправке Уведомлений МБТ разослана сотрудникам отдела Поставщиков</t>
  </si>
  <si>
    <t xml:space="preserve">Подготовлено ТЗ на прямые выплаты</t>
  </si>
  <si>
    <t xml:space="preserve">Подготовлены технические требования на реализацию функционала самоадминистрирования участниками Сметы</t>
  </si>
  <si>
    <t xml:space="preserve">Разработана архитектура приложения для удалённого доступа. Подключена база данных, функционирует REST API-сервис для авторизации, подтвеждения одноразового кода. отправленного на email (@yanao.ru), функция создания виртуальных машин с установленными параметрами (на базе РЕД ОС), пробросами портов (на базе noVNC)</t>
  </si>
  <si>
    <t xml:space="preserve">Разработана приложения для удалённого доступа. Завершение работы над минимально-жизнеспособным продуктом (MVP)</t>
  </si>
  <si>
    <t xml:space="preserve">Приложение для удаленного доступа развернуто В РМТКС ЯНАО по доменному имени. Соблдены требования информационной безопасности (внешние). Запущена тестовая эксплуатация</t>
  </si>
  <si>
    <t xml:space="preserve">Внесены изменения в план информатизации 2025</t>
  </si>
  <si>
    <t xml:space="preserve">telemost.yanao.ru: доступ предоставлен для НПО Криста</t>
  </si>
  <si>
    <t xml:space="preserve">Выполнил подготовку документов в Роспатент</t>
  </si>
  <si>
    <t xml:space="preserve">Разработан скрипт отчёта включения/выключения рабочих мест</t>
  </si>
  <si>
    <t xml:space="preserve">Устранены ошибки в ЛК-сервисе в части умного распознавания электронных документов</t>
  </si>
  <si>
    <t xml:space="preserve">Подготовлен вариант регламента взаимодействия участников (из числа МО, МКУ, ГКУ) в рамках оказания технической поддержки</t>
  </si>
  <si>
    <t xml:space="preserve">Подготовлен свод замечаний по удобству пользвания UX ЛК</t>
  </si>
  <si>
    <t xml:space="preserve">Проведены работы по обновлению сервера telemost.yanao.ru. Продолжается работа по устранению последствий</t>
  </si>
  <si>
    <t xml:space="preserve">Сформулированы и направлены функциональные требования для изменения способа взаимодействия клиентов и серверов приложений в рамках развития технологии TLS Gateway относительно ГИС "Смета ЯНАО"</t>
  </si>
  <si>
    <t xml:space="preserve">Устранение уязвимостей серверного вспомогательного программного обеспечения ВМ OPT</t>
  </si>
  <si>
    <t xml:space="preserve">Направлена заявка на промышленную ЕСИА; совместно с отделом информационной безопасности проведена работа по взаимодействию с НИИ "Восход" и Ростелеком</t>
  </si>
  <si>
    <t xml:space="preserve">Проведена работа по обновлению схемы топологии ЯНАО: уточнялись каналы взаимодействия, маршруты прохождения данных, состав систем и сервисов. Результатом стала обновлённая актуализированная схема с учетом текущей архитектуры и взаимодействующих контуров.</t>
  </si>
  <si>
    <t xml:space="preserve">Проведена работа по актуализации таблиц Excel с выборками органов и учреждений по направлению ЕСКУ. Проведена сверка списков, выявлены отсутствующие, новые и дублирующиеся записи. В результате был подготовлен максимально актуальный список учреждений для дальнейшей работы и сопоставления данных</t>
  </si>
  <si>
    <t xml:space="preserve">Проведено зондирование вопроса подключения уведомлений в чат-бот "Бухагалтер Света" (Среда) от функционала ЭДО "Отчётность" (Астрал). Выявлены ключевые точки роста, оценена рентабельность мероприятия (Не рентабельно)</t>
  </si>
  <si>
    <t xml:space="preserve">ЕСИА: Разработаны синтетические тесты для определения пределов нагрузки сервиса авторизации при использовании в ЛК с целью предиктивного наращивания</t>
  </si>
  <si>
    <t xml:space="preserve">ЕСИА: Выполнено централизованное сканирование на уязвимости серверного программного обеспечения узлов: Surgate-шлюз, сервер ЛК, ЕСИА-Адаптер</t>
  </si>
  <si>
    <t xml:space="preserve">ЕСИА: уязвимости устранены</t>
  </si>
  <si>
    <t xml:space="preserve">Направлено письмо в Минцифры России с запросом о ходе исполнения заявки</t>
  </si>
  <si>
    <t xml:space="preserve">Выполнена настройка по всем базам нового типа документа – Закрытие периода</t>
  </si>
  <si>
    <t xml:space="preserve">Выявлены условия и определён способ интеграции Смета-ЕСИА. Требуется включить в ПИ25 и бюджетную смету закупку лицензий на ПО КриптоПро</t>
  </si>
  <si>
    <t xml:space="preserve">Направлены изменения ППИ25 (СКЗИ для ЕСИА). Изменения приняты</t>
  </si>
  <si>
    <t xml:space="preserve">Участие в ВКС по РИС:Информатизация</t>
  </si>
  <si>
    <t xml:space="preserve">Проведена работа по устранению последствий повреждения баз данных</t>
  </si>
  <si>
    <t xml:space="preserve">Актуализирована структура, информация по сотрудникам и размещена инструкция на сайте учреждения согласно новому штатному расписанию. </t>
  </si>
  <si>
    <t xml:space="preserve">Проведена подготовка к переносу баз данных по ЗП учреждений здравоохранения. Разделение едниной базы на множество по учреждениям</t>
  </si>
  <si>
    <t xml:space="preserve">Подготовлена диаграмма по исполнительской дисциплине (февраль 2025, год 2024) улучшена диаграмма по звонкам (февраль 2025). В работе заявки по корректировке отчета «Нагрузка бухгалтера»</t>
  </si>
  <si>
    <t xml:space="preserve">Донастроен запрос безвозмездной передачи от одного балансодержателю к другому из потребности учреждений (ГКУ)</t>
  </si>
  <si>
    <t xml:space="preserve">Проведно успешное тестирование подписания и отправки в одном платёжном поручении множественной детализации</t>
  </si>
  <si>
    <t xml:space="preserve">произведена замена пары открытого-закрытого ключа обезличенный КЭП на сервере ADGATE "Администрирование доходов"</t>
  </si>
  <si>
    <t xml:space="preserve">Анализ формирования пакетов с типом «Отчет об имуществе» в Государственных учреждениях для дальнейшей отправки в ГИС Имущество. Консультации в исправлении ошибок учета ОС и помощь в написании заявок в Фаргус и НПО Криста. Тестовая выгрузка совместно с сотрудниками Департамента Имущества</t>
  </si>
  <si>
    <t xml:space="preserve">Выполнена проверка работоспособности интеграции Сметы и РКС в части объектов малой закупки (до 600 тыс)</t>
  </si>
  <si>
    <t xml:space="preserve">Выполнены работы по апробации нового функционала отправки отчётности в федеральные органы. Опытным путём выявлены требования к КЭП, способах формирования МЧД и иных условиях, необходимых для корректного формирования исходящих пакетов данных. Проведена работа по созданию и портированию МЧД и учётных записей, сопровождению бизнес-процесса</t>
  </si>
  <si>
    <t xml:space="preserve">Внедрён функционал распознавания электронных проездных документов на базе искусственного интеллекта. Распознаванию подлежат: авиа и жд-билеты, гостиницы. Выполнены предварительные нагрузочные испытания сервиса, подключена языковая модель, установленная и настроенная на базе ГКУ Ресурсы Ямала в виде GPU-мощностей, проведена работа по коммуникации с коллегами из ДИТИСа и ГКУ Ресурсы Ямала, устранены критические ошибки распознавания сервиса, проведён анализ удобства пользования (Usability), работы по повышению качества продолжаются. </t>
  </si>
  <si>
    <t xml:space="preserve">Подготовлено и согласовано ТЗ на интеграцию с ЕСКУ</t>
  </si>
  <si>
    <t xml:space="preserve">Разработана концепция по оценке качества работы ИИ, выраженной в виде бизнес-требований, а также форматах взаимодействия ИС (json)</t>
  </si>
  <si>
    <t xml:space="preserve">Витрина данных. ГИС Образование со Сметой (получение справок об обучении): направлена заявка на присоединение к СМЭВ, разработана схема взаимодействия</t>
  </si>
  <si>
    <t xml:space="preserve">Развернут инструмент для применения новых концепций распознвания ИИ электронных документов.</t>
  </si>
  <si>
    <t xml:space="preserve">Проведено обучение Техфаргас (telemost.yanao.ru)</t>
  </si>
  <si>
    <t xml:space="preserve">telemost.yanao.ru исправлен функционал, многократно увеличено быстродействие</t>
  </si>
  <si>
    <t xml:space="preserve">Собственными силами развёрнут стенд и программное обеспечение "Адаптер Инфраструктуры" для интеграции с ЕСИА.Провена проверка работоспособности всех модулей. Приступаем к тестирования непосредственно подключения к ЕСИА</t>
  </si>
  <si>
    <t xml:space="preserve">Подготовлено и согласовано ТЗ по интеграции ГИС "Смета ЯНАО" и РСЭД ЯНАО</t>
  </si>
  <si>
    <t xml:space="preserve">Направлен и согласован предварительный проект плана информатизации 2027</t>
  </si>
  <si>
    <t xml:space="preserve">Выполнена работа по развитию автоматизации бизнес-процесса межбюджетных трансфертов: Проведены переговоры, исследования, согласование новой схемы взаимодействия, найден консенсус, который не позволит вносить изменения в документ-основание (заявку на МБТ) в случае создания расчёта по нему. Также, подготовлена система статусов для Исполнения бюджета и обновлена BPMN-схема "как должно быть"</t>
  </si>
  <si>
    <t xml:space="preserve">Выполнена работа по развитию автоматизации бизнес-процесса межбюджетных трансфертов: Подготовлена BPMN-схема "как есть сейчас", а также описан бизнес-процесс в деталях «как должно быть» на стороне ГИС "Смета ЯНАО". Подготовлены функциональные требования</t>
  </si>
  <si>
    <t xml:space="preserve">Включен механизм журналирования входящих запросов для тела запроса с полезной нагрузкой - пользовательскими данными в рамках интеграции с АИС Жилфонд. Это позволит быстро обращаться к журналам отправленных в Смету данны ретроспективно для разрешения спорных ситуаций в рамках интеграции</t>
  </si>
  <si>
    <t xml:space="preserve">Выполноно обновление промежуточного программного обеспечения Surgate для подключения к ЕСИА подсистемы формирования и обработки электронных документов (smeta.yanao.ru)</t>
  </si>
  <si>
    <t xml:space="preserve">ЕСИА: синтетические тесты выполнены:  сервис готов к эксплуатации - не менее Х пользователей одновременно</t>
  </si>
  <si>
    <t xml:space="preserve">ВКС с Кристой по интеграции с Тезисом???</t>
  </si>
  <si>
    <t xml:space="preserve">Подготовлено ТЗ на двухэтапный ГК по развитию искусственного интеллекта</t>
  </si>
  <si>
    <t xml:space="preserve">Настроено во всех БД подписание бух. справок для документов: Поступление забаланс
Выбытие НФА
Поступление НФА
Перемещение НФА
Начисление амортизаций
Переоценка НФА
Модернизация НФА
Выбытие забаланс
Входящий счет</t>
  </si>
  <si>
    <t xml:space="preserve">Актуализированы должности сотрудников ЦБ в базах данных исполнительных органов (12)</t>
  </si>
  <si>
    <t xml:space="preserve">Актуализированы должности сотрудников ЦБ в базах данных исполнительных органов (16)</t>
  </si>
  <si>
    <t xml:space="preserve">Подготовлен и заполнен ПИ25 в новой ИС (РКС)</t>
  </si>
  <si>
    <t xml:space="preserve">Настроена и успешно протестирована на департаменте Госжизнадзора схема Уведомлений по МБТ от МУ к утверждению ОУ и принятию к учету ЦБ</t>
  </si>
  <si>
    <t xml:space="preserve">Проведно тестирование подключения к Смете через TLS-шлюз: найдены ошибки, возникающие теперь периодически. Анализ ошибки требует дополнительных инцидентов, соответствующая работа проводится по настоящее время</t>
  </si>
  <si>
    <t xml:space="preserve">Получены базы данных субъектов централизованного учёта здравоохранения ЯНАО: 16 баз данных бухгалтерий, 10 баз данных заработной платы. Проведены консультации с ключевыми сотрудниками здравоохранения ЯНАО (Дирекция) по выверке остатков после миграции данных.</t>
  </si>
  <si>
    <t xml:space="preserve">Произведена инсталляция ViPNet + dst на сервер интеграции с ЕСИА (smeta.yanao.ru)</t>
  </si>
  <si>
    <t xml:space="preserve">Отчёт по импортозамещению</t>
  </si>
  <si>
    <t xml:space="preserve">Проведена работа по актуализации ТЗ, направленного на автоматизацию наградного отдела аппарата Губернатора ЯНАО</t>
  </si>
  <si>
    <t xml:space="preserve">Сформированы технические требования на реализацию интеграции ТЕЗИС и Сметы в 2026 году</t>
  </si>
  <si>
    <t xml:space="preserve">Проведена работа по переформированию МЧД для ФНС функционала ГИС "Смета ЯНАО" "Внеший ЭДО" (Астрал) для своевременного и корректного получения уведомлений из налогового органа, подписано доверенностей - 24 из 27, в работе - 2 (ДИТИС, ГПД, ДГЗиПБ), работа продолжается; направлено письмо о новом функционале в исполительные органы, подготовлена памятка для работы пользователей; другие направления ЭДО (СФР, Росстат) включены и функционируют в штатном режиме, ошибки устраняются по факту их возникновения в ручном режиме</t>
  </si>
  <si>
    <t xml:space="preserve">Подготовлены схемы в нотации bpm для мероприятий по развитию ГИС Смета ЯНАО в 2026 году (ИнтТезис, Витрина образования, Росдормониторинг,Метрики, АПК)</t>
  </si>
  <si>
    <t xml:space="preserve">Инвентаризированы оферты подключения к ГИС "Смета ЯНАО" муниципальных учреждений в ЯНАО, оферт собрано - 750</t>
  </si>
  <si>
    <t xml:space="preserve">Подготовлено ТЗ по интеграции Смета+Тезис</t>
  </si>
  <si>
    <t xml:space="preserve">Проведена работа по сбору актов должников по итеграции ГИС "Смета ЯНАО" и ГИС "ЕСКУ ЯНАО", собрано - Х ед</t>
  </si>
  <si>
    <t xml:space="preserve">ЕСИА: Реализованы методы logout на уровне сессий приложения</t>
  </si>
  <si>
    <t xml:space="preserve">ЕСИА: на уровне ЛК реализован метод logout, добавлен косметический-preloader</t>
  </si>
  <si>
    <t xml:space="preserve">Предварительный план инфорпматизации размещен в системе rks.yanao.ru</t>
  </si>
  <si>
    <t xml:space="preserve">Проработан вопрос использования TLS Gateway в РМТКС по алгоритмам RSA/GOST3410. Требуется доработка клиентского ПО. Релиз запланирован на 05.12.24</t>
  </si>
  <si>
    <t xml:space="preserve">Проведена работа по проектированию аппаратных мощностей на 2025-2026 годы для обеспечения работоспособности Сметы в условиях приращения числа пользователей + заключено соглашение</t>
  </si>
  <si>
    <t xml:space="preserve">Подготовлена видео-инструкция для подготовки архивов и их загрузки в чат-Бот, инструкция опубликована на сайте учреждения.</t>
  </si>
  <si>
    <t xml:space="preserve">Проведено тестирование нового функционала «Выгрузка имущества» с типом пакета «Передача имущества». Найдены ошибки. Направлены разработчику</t>
  </si>
  <si>
    <t xml:space="preserve">направлено в исполнительные органы письмо о настройке в базах всплывающих уведомлений</t>
  </si>
  <si>
    <t xml:space="preserve">Настроен ЭД Табель ежедневный на БД ЦБ ОГВ. Функционал масштабируем, передан в техподдержку для распространения на подключениях Здравоохранения</t>
  </si>
  <si>
    <t xml:space="preserve">Разработан сервис аналитики для оценки эффективности работы с заявками, телефонных звонков</t>
  </si>
  <si>
    <t xml:space="preserve">Сервис аналитики для оценки эффективности работы с заявками, телефонных звонков: применение ИИ для категоризирования данных; с помощью ИИ из всего валового объёма заявок с 01.01.2025 года выявлены ТОП-5 направлений: интеграции (25%), интерфейс(17%), доступ (14%), настройки (10%), нет нужного функционала (10%). По телефонным звонкам: самые длинные разговоры, наибольшее/наименьшее количество звонков, пропущенные и т.д. Более подробно: https://websmeta.yanao.ru/static. </t>
  </si>
  <si>
    <t xml:space="preserve">Подготовлен  сводный отчёт (срез) по каждому МО с указанием учреждений, перешедших, но не осуществляющих ведение учёта в ГИС Смета ЯНАО</t>
  </si>
  <si>
    <t xml:space="preserve">Подготовлена типовая дорожная карта мероприятий по развитию ГИС "Смета ЯНАО"</t>
  </si>
  <si>
    <t xml:space="preserve">Инвентаризированы оферты подключения к ГИС "Смета ЯНАО" государственных учреждений в ЯНАО: оферт в наличии 48, ожидаем - 8; нет оферт - 25 (Здрав), 9 (Ликвидировано учреждений). Всего изначально - 90</t>
  </si>
  <si>
    <t xml:space="preserve">Проведено обучения (3 дня) для бухгалтеров муниципальных учреждений в ЯНАО по направлению: создание, подписание и закрытие платёжных поручений в ГИС "Смета ЯНАО"</t>
  </si>
  <si>
    <t xml:space="preserve">ЕСИА: выполнено бэкап-копирование шлюза Surgate (Моноблок)</t>
  </si>
  <si>
    <t xml:space="preserve">Проведен анализ и выявлен наилучший способ для удалённого доступа разработчика к пользователям Сметы (в условиях отказа от массового отказа от ViPNet Client в РМТКС)</t>
  </si>
  <si>
    <t xml:space="preserve">Направлен отчёт: импортозамещение A(ФГИСКИ)</t>
  </si>
  <si>
    <t xml:space="preserve">Проведён анализ формирования пакетов с типом «Отчет об имуществе» в государственных учреждениях для дальнейшей отправки в ГИС Имущество. Найдены ошибки, направлены разработчику.  </t>
  </si>
  <si>
    <t xml:space="preserve">Направлены изменения в ПИ25 в части мероприятий по информатизации: ППО, Миграция дополнительных баз данных учреждений (которые раньше были запланированы на 2026 год), Техподдержа дополнительных баз данных, реализация функционала под специфику хоз.операция некоторых муниципальных учреждений. Подготовлены финансово-экономические обоснования. Все изменения согласованы</t>
  </si>
  <si>
    <t xml:space="preserve">Подготовлено ТЗ для интеграции с Росдормониторинг</t>
  </si>
  <si>
    <t xml:space="preserve">Проведено обучение администраторов Сметы на тему настройки платёжных поручений в базах данных пользователей всех муниципальных учреждений в ЯНАО</t>
  </si>
  <si>
    <t xml:space="preserve">Выполнен срез используемого функционала платёжных поручений в ГИС "Смета ЯНАО" из числа, прошедших обучение, с фокусом: платёжные поручения, прямые выплаты</t>
  </si>
  <si>
    <t xml:space="preserve">ТЗ по интеграции Сметы и РСЭД Тезис иправлено с учетом замечаний ДИТиС и направленно на конкурсные закупки служебной запиской в РСЭД Тезис </t>
  </si>
  <si>
    <t xml:space="preserve">Участие в ВКС (Техподдержка)</t>
  </si>
  <si>
    <t xml:space="preserve">Направлен отчёт: затраты на ПО и меры поддержки ИТ-проектов</t>
  </si>
  <si>
    <t xml:space="preserve">Обновлены инструкции в базе знаний</t>
  </si>
  <si>
    <t xml:space="preserve">Внедрён в тестовую эксплуатацию механизм подключения к Смете без ViPNet Client через TLS Gateway в РМТКС по алгоритмам RSA/GOST3410.  </t>
  </si>
  <si>
    <t xml:space="preserve">Сбор заявок (некорректности функционала версии клиента:linux64—7725.4-хх), регистрация в НПО Криста и отслеживание</t>
  </si>
  <si>
    <t xml:space="preserve">Консультации пользователей (Дирекция по финансированию и материально-техническому обеспечению учреждений в сфере здравоохранения) по работе в ГИС Смета, совместная работа с пользователями по выверке остатков, внесению документов в систему и т.п.</t>
  </si>
  <si>
    <t xml:space="preserve">Проверены концепции (в рамкха OKR26) внедрения ИИ по направлениям: Справочники НФА, бот-консультант на базе ИИ</t>
  </si>
  <si>
    <t xml:space="preserve">Проведена работа по обновлению инструкции по применению электронных документов ОКУД 0510521 «Заявка-обоснование закупки товаров, работ, услуг малого объема через подотчетное лицо (ф. 0510521)</t>
  </si>
  <si>
    <t xml:space="preserve">Подготовлено и согласовано ТЗ: Интеграция АПК</t>
  </si>
  <si>
    <t xml:space="preserve">ЕСИА: Выполнена инсталляция антивирусной защиты на шлюз Surgate, исключены ошибки, препятствующие работоспособности шлюза</t>
  </si>
  <si>
    <t xml:space="preserve">Проведен ВКС с департаментом агропромышленного комплекса ЯНАО по вопросам интеграции</t>
  </si>
  <si>
    <t xml:space="preserve">Выполнены работы по настройке индивидуального квотирования загружаемых файлов для разных типов (видов) документов. Сообщаю Вам о наличии технической возможности прикреплять файлы (вложения) большого размера. Индивидуальная настройка действует в отношении ОКУД: 0504833 (бух.справка), 0504512/517/520 (отчёт о расходах, РОКи) и распространена на все базы данных ГИС Смета ЯНАО.</t>
  </si>
  <si>
    <t xml:space="preserve">Проведена приёмка ГК: уведомления, ИИ</t>
  </si>
  <si>
    <t xml:space="preserve">Подготовка к переносу остатков ЯМАЛСПАС на 01.01.2025, при смене формы организации юридического лица</t>
  </si>
  <si>
    <t xml:space="preserve">Сформулированы требования и разработан отчёт использования функционала ГИС "Смета ЯНАО" в части работы с первичными платёжными документами. Отчёт отражает точки роста и акцентирует внимание на базах данных, в которые платёжные первичные документы импортируются из Исполненеия бюджета</t>
  </si>
  <si>
    <t xml:space="preserve">Проведена актуализация доступов в ГБУ «Дирекция ООПТ ЯНАО», ГКУ «Служба по охране биоресурсов ЯНАО», ГУ «Леса Ямала», ГАУ «Центр изучения Арктики»</t>
  </si>
  <si>
    <t xml:space="preserve">Подготовлено и согласовано ТЗ по мероприятию: Оказание услуг по настройке в ГИС «Смета ЯНАО» функционала в части учета, начисления и расчетов по плате, которую родители (законные представители) ежемесячно платят дошкольной образовательной организации за присмотр и уход за ребёнком (далее – родительская плата), компенсационных выплат по родительской плате, а также учет расчетов по платным услугам образовательных учреждений</t>
  </si>
  <si>
    <t xml:space="preserve">Проведены испатания ОКУД 0504805 (Извещение), функционал "Кросс-подписание" на примере: Департамента строительства и жилищной политики ЯНАО и дирекции капительного строительства и инвестиций ЯНАО</t>
  </si>
  <si>
    <t xml:space="preserve">СВОДНЫЙ ОТЧЁТ О ПРОДЕЛАННОЙ РАБОТЕ ЗА ИЮНЬ 2026</t>
  </si>
  <si>
    <t xml:space="preserve">Отдел сопровождения, развития информационных систем и технической поддержки государственных и муниципальных учреждений</t>
  </si>
  <si>
    <t xml:space="preserve">Ставер А.П.</t>
  </si>
  <si>
    <t xml:space="preserve">Сапогов М.Д.</t>
  </si>
  <si>
    <t xml:space="preserve">Обмолова В.В.</t>
  </si>
  <si>
    <t xml:space="preserve">Роганова А.А.</t>
  </si>
  <si>
    <t xml:space="preserve">Гасанов С.Н.</t>
  </si>
  <si>
    <t xml:space="preserve">Кошик В.Н.</t>
  </si>
  <si>
    <t xml:space="preserve">Худышкин С.Н.</t>
  </si>
  <si>
    <t xml:space="preserve">Мулявин Я.В.</t>
  </si>
  <si>
    <t xml:space="preserve">Актуализировано и направлено на согласование ТЗ на выполнение работ по интеграции с РСЭД Тезис с учетом замечаний от ДИТиС.</t>
  </si>
  <si>
    <t xml:space="preserve">Работа по размещению предварительного ПИ на 2027 год</t>
  </si>
  <si>
    <t xml:space="preserve">Работа по акутализаци заявки на получение прав на ИИ</t>
  </si>
  <si>
    <t xml:space="preserve">Аналитическая информация по телефонным консультациям, отдел СРТП</t>
  </si>
  <si>
    <t>Месяц</t>
  </si>
  <si>
    <t xml:space="preserve">Количество звонков, отдел   (входящие и исходящие)</t>
  </si>
  <si>
    <t>Ставер</t>
  </si>
  <si>
    <t>Сапогов</t>
  </si>
  <si>
    <t>Чечеткин</t>
  </si>
  <si>
    <t>Роганова</t>
  </si>
  <si>
    <t>Обмолова</t>
  </si>
  <si>
    <t>Кошик</t>
  </si>
  <si>
    <t>Гасанов</t>
  </si>
  <si>
    <t>Мулявин</t>
  </si>
  <si>
    <t>Худышкин</t>
  </si>
  <si>
    <t xml:space="preserve">октябрь 2023</t>
  </si>
  <si>
    <t xml:space="preserve">декабрь 2023</t>
  </si>
  <si>
    <t xml:space="preserve">январь 2024</t>
  </si>
  <si>
    <t xml:space="preserve">февраль 2024</t>
  </si>
  <si>
    <t xml:space="preserve">март 2024</t>
  </si>
  <si>
    <t xml:space="preserve">апрель 2024</t>
  </si>
  <si>
    <t xml:space="preserve">май, 2024</t>
  </si>
  <si>
    <t xml:space="preserve">июнь, 2024</t>
  </si>
  <si>
    <t xml:space="preserve">июль, 2024</t>
  </si>
  <si>
    <t xml:space="preserve">август, 2024</t>
  </si>
  <si>
    <t xml:space="preserve">сентябрь, 2024</t>
  </si>
  <si>
    <t xml:space="preserve">октябрь, 2024</t>
  </si>
  <si>
    <t xml:space="preserve">ноябрь, 2024</t>
  </si>
  <si>
    <t xml:space="preserve">декабрь 2024</t>
  </si>
  <si>
    <t xml:space="preserve">январь, 2025</t>
  </si>
  <si>
    <t xml:space="preserve">февраль 2025</t>
  </si>
  <si>
    <t xml:space="preserve">март, 2025</t>
  </si>
  <si>
    <t xml:space="preserve">апрель, 2025</t>
  </si>
  <si>
    <t xml:space="preserve">май, 2025</t>
  </si>
  <si>
    <t xml:space="preserve">июнь, 2025</t>
  </si>
  <si>
    <t xml:space="preserve">июль, 2025</t>
  </si>
  <si>
    <t xml:space="preserve">август, 2025</t>
  </si>
  <si>
    <t xml:space="preserve">сентябрь, 2025</t>
  </si>
  <si>
    <t xml:space="preserve">Октябрь, 2025</t>
  </si>
  <si>
    <t xml:space="preserve">Ноябрь, 2025</t>
  </si>
  <si>
    <t xml:space="preserve">Январь, 2026</t>
  </si>
  <si>
    <t xml:space="preserve">Февраль, 2026</t>
  </si>
  <si>
    <t xml:space="preserve">Март, 2026</t>
  </si>
  <si>
    <t xml:space="preserve">Апрель, 2026</t>
  </si>
  <si>
    <t xml:space="preserve">Май, 2026</t>
  </si>
  <si>
    <t xml:space="preserve">Июнь, 2026</t>
  </si>
  <si>
    <t xml:space="preserve">Июль, 2026</t>
  </si>
  <si>
    <t xml:space="preserve">Август, 2026</t>
  </si>
  <si>
    <t>Исполнитель</t>
  </si>
  <si>
    <t xml:space="preserve">Текущие задачи</t>
  </si>
  <si>
    <t xml:space="preserve">Работа с заявками</t>
  </si>
  <si>
    <t xml:space="preserve">1. Проводилась подготовка ТЗ на выполнение работ по интеграции с РСЭД Тезис
2. Организация и взаимодействие с участниками и техподдержкой по настройке и тестировании  кроссподписания.
3. Проверка мероприятий предварительных ПИ на 2027 год среди МО и департамента здравоохранения.  
4. Проводилась работа по администрированию, настройке прав, технической поддержке и решения иных вопросов на период отсутствия Чечеткина М.И., Обмоловой В.В. Рогановой А.И.
5. Подготовлены критерии для отчета по отслеживанию динамики авторизации через ЕСИА, сформулированы требования для отчета по командировкам и отпускам (заявки), решены несколько вопросов по ошибкам при импорте данных УКТ-Услуга, направлен отзыв заявки на регистрацию программы для ЭВМ (ИИ) чтобы повторно не платить пошлину.
6. Направлены ежемесячные отчеты по аудиту ПО и импортзамещению в ДИТиС (через депфин)</t>
  </si>
  <si>
    <t xml:space="preserve">Исполнено резолюций - 13, направлено заявок в службу технической поддержки - 24 (Смета)</t>
  </si>
  <si>
    <t xml:space="preserve">Сбор статистики по муниципалитетам - использования интеграции по направлениям: МИР, ПП, ЭДО, СФР, Имущество и т.п.</t>
  </si>
  <si>
    <t xml:space="preserve">Направлено заявок в службу технической поддержки - 2</t>
  </si>
  <si>
    <t xml:space="preserve">Работа Техфоргосом, Мароп и Аппаратом Губернатора для утверждения и построения рабочего процесса (консолидация информации всеми сторонами) интеграции с ЕСКУ. 
Восстановление подключений Imon ГКУ.drx . Поддержка и администрирование ИОГВ с 04.08.2026 по 12.08.2026. Поддержка, администрирование  и консультация по  ГИС АПК и Астралу.  Работа по организации интеграции ГИС ЕСКУ и ГИС Сметы. Оповещеие учреждений о сопостовлении справочников, консультация.    Взаимодействие с представителями подрядчиков (Мароп, Хендисофт, Аппарат Губернатора) для согласования и реализации доработок по интеграции. 
Взаимодействие с представителями подрядчиков (Fargos, Krista) по централизации Сметы в рабочих чатах Мах и по телефону.
 Консультация / тех. поддержка / маршрутизация заявок муниципалитетов в части подключения и настройки централизованной Сметы ЯНАО.
Поддержка по настройкам ГИС ГМП, ГИС Имущество, перечеисление на карты МИР в базах муниципалитетов.
 Работы с базами муниципалитетов. Курирование работы функционала интеграции ГИС ЕСКУ и Сметы в ЦБ ОГВ ЯНАО. </t>
  </si>
  <si>
    <t xml:space="preserve">Направлено заявок в службу технической поддержки - 13</t>
  </si>
  <si>
    <t xml:space="preserve">Предоставление доступа сотрудника ОУ - 3 приказа;
Устранение проблемы с созданием МЧД;
Работа по внедрению подписания ф.0510448 и 0504805 между базами и устранение ошибок;</t>
  </si>
  <si>
    <t xml:space="preserve">Направлено заявок в службу технической поддержки - 7</t>
  </si>
  <si>
    <t xml:space="preserve">1. Проведена работа по переходу на «Астрал»: изучены текущий и целевой бизнес-процессы сдачи отчётности, собрана обратная связь пользователей и уточнены вопросы с НПО «Криста». Подготовлены дорожная карта перехода и BPMN-схемы процессов работы через «Контур» и «Астрал».
2. Для загрузки данных по медалистам с помощью Python-скрипта обработаны данные по 537 детям, выполнена сверка и распределение по 13 территориям, подготовлены 13 Excel- и 13 CSV-файлов для загрузки в ГИС «Смета ЯНАО».
3. Проводилась обработка обращений пользователей по ЕСКУ и другим вопросам ГИС «Смета ЯНАО»: анализ ошибок, проверка выгрузок и данных, подготовка заявок в НПО «Криста» и контроль исправлений.
4. Оказана помощь в проработке нового ТЗ по платёжным поручениям: рассмотрено совмещение планируемых доработок со стороны НПО «Криста» и функционала РСЭД «ТЕЗИС».</t>
  </si>
  <si>
    <t xml:space="preserve">Направлено заявок в службу технической поддержки - 8 заявок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</si>
</sst>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mmm/yy"/>
  </numFmts>
  <fonts count="42">
    <font>
      <sz val="11.000000"/>
      <color theme="1"/>
      <name val="Calibri"/>
    </font>
    <font>
      <sz val="10.000000"/>
      <name val="Arial"/>
    </font>
    <font>
      <sz val="14.000000"/>
      <color theme="1"/>
      <name val="Arial"/>
    </font>
    <font>
      <sz val="10.000000"/>
      <color theme="1"/>
      <name val="Arial"/>
    </font>
    <font>
      <sz val="16.000000"/>
      <color theme="0"/>
      <name val="Arial"/>
    </font>
    <font>
      <sz val="16.000000"/>
      <name val="Arial"/>
    </font>
    <font>
      <sz val="12.000000"/>
      <color theme="0"/>
      <name val="Arial"/>
    </font>
    <font>
      <sz val="8.000000"/>
      <color theme="0"/>
      <name val="Arial"/>
    </font>
    <font>
      <sz val="8.000000"/>
      <name val="Arial"/>
    </font>
    <font>
      <sz val="8.000000"/>
      <color theme="1"/>
      <name val="Arial"/>
    </font>
    <font>
      <sz val="8.000000"/>
      <color theme="1"/>
      <name val="Calibri"/>
    </font>
    <font>
      <strike/>
      <sz val="8.000000"/>
      <name val="Arial"/>
    </font>
    <font>
      <b/>
      <strike/>
      <sz val="8.000000"/>
      <color theme="1"/>
      <name val="Arial"/>
    </font>
    <font>
      <sz val="8.000000"/>
      <color theme="0" tint="-0.14999847407452621"/>
      <name val="Arial"/>
    </font>
    <font>
      <b/>
      <sz val="8.000000"/>
      <color theme="8" tint="0"/>
      <name val="Arial"/>
    </font>
    <font>
      <b/>
      <sz val="8.000000"/>
      <name val="Arial"/>
    </font>
    <font>
      <strike/>
      <sz val="8.000000"/>
      <color theme="8" tint="0"/>
      <name val="Arial"/>
    </font>
    <font>
      <sz val="11.000000"/>
      <name val="Arial"/>
    </font>
    <font>
      <sz val="8.000000"/>
      <color rgb="FF7030A0"/>
      <name val="Arial"/>
    </font>
    <font>
      <b/>
      <sz val="8.000000"/>
      <color theme="1"/>
      <name val="Arial"/>
    </font>
    <font>
      <b/>
      <sz val="12.000000"/>
      <color theme="8" tint="0"/>
      <name val="Arial"/>
    </font>
    <font>
      <strike/>
      <sz val="8.000000"/>
      <color theme="1"/>
      <name val="Arial"/>
    </font>
    <font>
      <b/>
      <strike/>
      <sz val="8.000000"/>
      <color theme="8" tint="0"/>
      <name val="Arial"/>
    </font>
    <font>
      <sz val="10.000000"/>
      <color rgb="FFBA44F5"/>
      <name val="Arial"/>
    </font>
    <font>
      <sz val="8.000000"/>
      <color rgb="FFBA44F5"/>
      <name val="Arial"/>
    </font>
    <font>
      <sz val="10.000000"/>
      <color rgb="FF7030A0"/>
      <name val="Arial"/>
    </font>
    <font>
      <b/>
      <sz val="10.000000"/>
      <color theme="1"/>
      <name val="Arial"/>
    </font>
    <font>
      <sz val="11.000000"/>
      <color rgb="FF7030A0"/>
      <name val="Arial"/>
    </font>
    <font>
      <sz val="14.000000"/>
      <color theme="1"/>
      <name val="Liberation Sans"/>
    </font>
    <font>
      <b/>
      <sz val="16.000000"/>
      <color theme="0"/>
      <name val="Liberation Sans"/>
    </font>
    <font>
      <i/>
      <sz val="16.000000"/>
      <color theme="0"/>
      <name val="Liberation Sans"/>
    </font>
    <font>
      <b/>
      <sz val="14.000000"/>
      <color theme="1"/>
      <name val="Liberation Sans"/>
    </font>
    <font>
      <sz val="10.000000"/>
      <color theme="1"/>
      <name val="Liberation Sans"/>
    </font>
    <font>
      <sz val="9.000000"/>
      <color theme="1"/>
      <name val="Liberation Sans"/>
    </font>
    <font>
      <sz val="9.000000"/>
      <color theme="1"/>
      <name val="Arial"/>
    </font>
    <font>
      <sz val="11.000000"/>
      <color theme="1"/>
      <name val="Arial"/>
    </font>
    <font>
      <sz val="11.000000"/>
      <color theme="1"/>
      <name val="Liberation Sans"/>
    </font>
    <font>
      <sz val="11.000000"/>
      <name val="Liberation Sans"/>
    </font>
    <font>
      <sz val="12.000000"/>
      <color theme="0"/>
      <name val="Liberation Sans"/>
    </font>
    <font>
      <sz val="12.000000"/>
      <color theme="1"/>
      <name val="Liberation Sans"/>
    </font>
    <font>
      <sz val="12.000000"/>
      <name val="Liberation Sans"/>
    </font>
    <font>
      <sz val="11.000000"/>
      <color theme="1"/>
      <name val="Liberation Serif"/>
    </font>
  </fonts>
  <fills count="23">
    <fill>
      <patternFill patternType="none"/>
    </fill>
    <fill>
      <patternFill patternType="gray125"/>
    </fill>
    <fill>
      <patternFill patternType="solid">
        <fgColor rgb="FF002060"/>
        <bgColor indexed="18"/>
      </patternFill>
    </fill>
    <fill>
      <patternFill patternType="solid">
        <fgColor rgb="FFFFC000"/>
        <bgColor indexed="52"/>
      </patternFill>
    </fill>
    <fill>
      <patternFill patternType="solid">
        <fgColor rgb="FF92D050"/>
        <bgColor rgb="FFA9D18E"/>
      </patternFill>
    </fill>
    <fill>
      <patternFill patternType="solid">
        <fgColor theme="7" tint="0.39989999999999998"/>
        <bgColor indexed="43"/>
      </patternFill>
    </fill>
    <fill>
      <patternFill patternType="solid">
        <fgColor rgb="FF55FAFA"/>
        <bgColor indexed="7"/>
      </patternFill>
    </fill>
    <fill>
      <patternFill patternType="solid">
        <fgColor indexed="5"/>
        <bgColor indexed="5"/>
      </patternFill>
    </fill>
    <fill>
      <patternFill patternType="solid">
        <fgColor theme="9" tint="0.39989999999999998"/>
        <bgColor rgb="FF92D050"/>
      </patternFill>
    </fill>
    <fill>
      <patternFill patternType="solid">
        <fgColor rgb="FF00B050"/>
        <bgColor indexed="21"/>
      </patternFill>
    </fill>
    <fill>
      <patternFill patternType="solid">
        <fgColor theme="8" tint="0.39989999999999998"/>
        <bgColor rgb="FF729FCF"/>
      </patternFill>
    </fill>
    <fill>
      <patternFill patternType="solid">
        <fgColor theme="4" tint="-0.5"/>
        <bgColor rgb="FF44546A"/>
      </patternFill>
    </fill>
    <fill>
      <patternFill patternType="solid">
        <fgColor rgb="FF729FCF"/>
        <bgColor rgb="FF5B9BD5"/>
      </patternFill>
    </fill>
    <fill>
      <patternFill patternType="solid">
        <fgColor rgb="FF4E376B"/>
        <bgColor rgb="FF44546A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theme="4" tint="0.79990000000000006"/>
        <bgColor rgb="FFD9D9D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89999999999998"/>
        <bgColor rgb="FF8FAADC"/>
      </patternFill>
    </fill>
    <fill>
      <patternFill patternType="solid">
        <fgColor theme="2" tint="-0.099978637043366805"/>
        <bgColor theme="2" tint="-0.099978637043366805"/>
      </patternFill>
    </fill>
  </fills>
  <borders count="19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medium">
        <color theme="1"/>
      </left>
      <right style="none"/>
      <top style="medium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medium">
        <color theme="1"/>
      </left>
      <right style="none"/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medium">
        <color theme="1"/>
      </right>
      <top style="none"/>
      <bottom style="none"/>
      <diagonal style="none"/>
    </border>
    <border>
      <left style="medium">
        <color theme="1"/>
      </left>
      <right style="medium">
        <color theme="1"/>
      </right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200">
    <xf fontId="0" fillId="0" borderId="0" numFmtId="0" xfId="0" applyProtection="0">
      <protection hidden="0" locked="1"/>
    </xf>
    <xf fontId="2" fillId="0" borderId="0" numFmtId="0" xfId="0" applyFont="1" applyProtection="1">
      <protection hidden="0" locked="1"/>
    </xf>
    <xf fontId="3" fillId="0" borderId="0" numFmtId="0" xfId="0" applyFont="1" applyAlignment="1" applyProtection="1">
      <alignment horizontal="center" vertical="center"/>
      <protection hidden="0" locked="1"/>
    </xf>
    <xf fontId="3" fillId="0" borderId="0" numFmtId="0" xfId="0" applyFont="1" applyProtection="1">
      <protection hidden="0" locked="1"/>
    </xf>
    <xf fontId="3" fillId="0" borderId="1" numFmtId="0" xfId="0" applyFont="1" applyBorder="1" applyProtection="1">
      <protection hidden="0" locked="1"/>
    </xf>
    <xf fontId="3" fillId="0" borderId="1" numFmtId="0" xfId="0" applyFont="1" applyBorder="1" applyAlignment="1" applyProtection="1">
      <alignment horizontal="center" vertical="center"/>
      <protection hidden="0" locked="1"/>
    </xf>
    <xf fontId="3" fillId="0" borderId="2" numFmtId="0" xfId="0" applyFont="1" applyBorder="1" applyAlignment="1" applyProtection="1">
      <alignment horizontal="center" vertical="center"/>
      <protection hidden="0" locked="1"/>
    </xf>
    <xf fontId="2" fillId="0" borderId="1" numFmtId="0" xfId="0" applyFont="1" applyBorder="1" applyProtection="1">
      <protection hidden="0" locked="1"/>
    </xf>
    <xf fontId="4" fillId="2" borderId="3" numFmtId="0" xfId="0" applyFont="1" applyFill="1" applyBorder="1" applyAlignment="1" applyProtection="1">
      <alignment horizontal="center" vertical="center" wrapText="1"/>
      <protection hidden="0" locked="1"/>
    </xf>
    <xf fontId="5" fillId="3" borderId="4" numFmtId="0" xfId="0" applyFont="1" applyFill="1" applyBorder="1" applyAlignment="1" applyProtection="1">
      <alignment horizontal="center" vertical="center" wrapText="1"/>
      <protection hidden="0" locked="1"/>
    </xf>
    <xf fontId="5" fillId="4" borderId="5" numFmtId="0" xfId="0" applyFont="1" applyFill="1" applyBorder="1" applyAlignment="1" applyProtection="1">
      <alignment horizontal="center" vertical="center" wrapText="1"/>
      <protection hidden="0" locked="1"/>
    </xf>
    <xf fontId="5" fillId="5" borderId="5" numFmtId="0" xfId="0" applyFont="1" applyFill="1" applyBorder="1" applyAlignment="1" applyProtection="1">
      <alignment horizontal="center" vertical="center" wrapText="1"/>
      <protection hidden="0" locked="1"/>
    </xf>
    <xf fontId="5" fillId="5" borderId="6" numFmtId="0" xfId="0" applyFont="1" applyFill="1" applyBorder="1" applyAlignment="1" applyProtection="1">
      <alignment horizontal="center" vertical="center" wrapText="1"/>
      <protection hidden="0" locked="1"/>
    </xf>
    <xf fontId="1" fillId="6" borderId="5" numFmtId="0" xfId="0" applyFont="1" applyFill="1" applyBorder="1" applyAlignment="1" applyProtection="1">
      <alignment horizontal="center" vertical="center" wrapText="1"/>
      <protection hidden="0" locked="1"/>
    </xf>
    <xf fontId="5" fillId="3" borderId="5" numFmtId="0" xfId="0" applyFont="1" applyFill="1" applyBorder="1" applyAlignment="1" applyProtection="1">
      <alignment horizontal="center" vertical="center" wrapText="1"/>
      <protection hidden="0" locked="1"/>
    </xf>
    <xf fontId="5" fillId="7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5" fillId="8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5" fillId="9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5" fillId="10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4" fillId="11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4" fillId="12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4" fillId="12" borderId="4" numFmtId="160" xfId="0" applyNumberFormat="1" applyFont="1" applyFill="1" applyBorder="1" applyAlignment="1" applyProtection="1">
      <alignment horizontal="center" vertical="center" wrapText="1"/>
      <protection hidden="0" locked="1"/>
    </xf>
    <xf fontId="4" fillId="13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4" fillId="14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5" fillId="15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5" fillId="16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5" fillId="7" borderId="5" numFmtId="49" xfId="0" applyNumberFormat="1" applyFont="1" applyFill="1" applyBorder="1" applyAlignment="1" applyProtection="1">
      <alignment horizontal="center" vertical="center" wrapText="1"/>
      <protection hidden="0" locked="1"/>
    </xf>
    <xf fontId="5" fillId="15" borderId="5" numFmtId="49" xfId="0" applyNumberFormat="1" applyFont="1" applyFill="1" applyBorder="1" applyAlignment="1" applyProtection="0">
      <alignment horizontal="center" vertical="center" wrapText="1"/>
      <protection hidden="0" locked="1"/>
    </xf>
    <xf fontId="5" fillId="15" borderId="6" numFmtId="49" xfId="0" applyNumberFormat="1" applyFont="1" applyFill="1" applyBorder="1" applyAlignment="1" applyProtection="0">
      <alignment horizontal="center" vertical="center" wrapText="1"/>
      <protection hidden="0" locked="1"/>
    </xf>
    <xf fontId="5" fillId="17" borderId="1" numFmtId="49" xfId="0" applyNumberFormat="1" applyFont="1" applyFill="1" applyBorder="1" applyAlignment="1" applyProtection="0">
      <alignment horizontal="center" vertical="center" wrapText="1"/>
      <protection hidden="0" locked="1"/>
    </xf>
    <xf fontId="5" fillId="17" borderId="6" numFmtId="49" xfId="0" applyNumberFormat="1" applyFont="1" applyFill="1" applyBorder="1" applyAlignment="1" applyProtection="0">
      <alignment horizontal="center" vertical="center" wrapText="1"/>
      <protection hidden="0" locked="1"/>
    </xf>
    <xf fontId="6" fillId="2" borderId="7" numFmtId="0" xfId="0" applyFont="1" applyFill="1" applyBorder="1" applyAlignment="1" applyProtection="1">
      <alignment horizontal="center" vertical="center" wrapText="1"/>
      <protection hidden="0" locked="1"/>
    </xf>
    <xf fontId="7" fillId="2" borderId="0" numFmtId="0" xfId="0" applyFont="1" applyFill="1" applyAlignment="1" applyProtection="1">
      <alignment horizontal="center" vertical="center" wrapText="1"/>
      <protection hidden="0" locked="1"/>
    </xf>
    <xf fontId="8" fillId="3" borderId="8" numFmtId="0" xfId="0" applyFont="1" applyFill="1" applyBorder="1" applyAlignment="1" applyProtection="1">
      <alignment horizontal="center" vertical="center" wrapText="1"/>
      <protection hidden="0" locked="1"/>
    </xf>
    <xf fontId="8" fillId="3" borderId="9" numFmtId="0" xfId="0" applyFont="1" applyFill="1" applyBorder="1" applyAlignment="1" applyProtection="1">
      <alignment horizontal="center" vertical="center" wrapText="1"/>
      <protection hidden="0" locked="1"/>
    </xf>
    <xf fontId="8" fillId="3" borderId="10" numFmtId="0" xfId="0" applyFont="1" applyFill="1" applyBorder="1" applyAlignment="1" applyProtection="1">
      <alignment horizontal="center" vertical="center" wrapText="1"/>
      <protection hidden="0" locked="1"/>
    </xf>
    <xf fontId="8" fillId="4" borderId="8" numFmtId="0" xfId="0" applyFont="1" applyFill="1" applyBorder="1" applyAlignment="1" applyProtection="1">
      <alignment horizontal="center" vertical="center" wrapText="1"/>
      <protection hidden="0" locked="1"/>
    </xf>
    <xf fontId="8" fillId="4" borderId="9" numFmtId="0" xfId="0" applyFont="1" applyFill="1" applyBorder="1" applyAlignment="1" applyProtection="1">
      <alignment horizontal="center" vertical="center" wrapText="1"/>
      <protection hidden="0" locked="1"/>
    </xf>
    <xf fontId="8" fillId="5" borderId="8" numFmtId="0" xfId="0" applyFont="1" applyFill="1" applyBorder="1" applyAlignment="1" applyProtection="1">
      <alignment horizontal="center" vertical="center" wrapText="1"/>
      <protection hidden="0" locked="1"/>
    </xf>
    <xf fontId="8" fillId="5" borderId="9" numFmtId="0" xfId="0" applyFont="1" applyFill="1" applyBorder="1" applyAlignment="1" applyProtection="1">
      <alignment horizontal="center" vertical="center" wrapText="1"/>
      <protection hidden="0" locked="1"/>
    </xf>
    <xf fontId="8" fillId="6" borderId="8" numFmtId="0" xfId="0" applyFont="1" applyFill="1" applyBorder="1" applyAlignment="1" applyProtection="1">
      <alignment horizontal="center" vertical="center" wrapText="1"/>
      <protection hidden="0" locked="1"/>
    </xf>
    <xf fontId="8" fillId="6" borderId="9" numFmtId="0" xfId="0" applyFont="1" applyFill="1" applyBorder="1" applyAlignment="1" applyProtection="1">
      <alignment horizontal="center" vertical="center" wrapText="1"/>
      <protection hidden="0" locked="1"/>
    </xf>
    <xf fontId="8" fillId="7" borderId="8" numFmtId="0" xfId="0" applyFont="1" applyFill="1" applyBorder="1" applyAlignment="1" applyProtection="1">
      <alignment horizontal="center" vertical="center" wrapText="1"/>
      <protection hidden="0" locked="1"/>
    </xf>
    <xf fontId="8" fillId="7" borderId="9" numFmtId="0" xfId="0" applyFont="1" applyFill="1" applyBorder="1" applyAlignment="1" applyProtection="1">
      <alignment horizontal="center" vertical="center" wrapText="1"/>
      <protection hidden="0" locked="1"/>
    </xf>
    <xf fontId="8" fillId="8" borderId="8" numFmtId="0" xfId="0" applyFont="1" applyFill="1" applyBorder="1" applyAlignment="1" applyProtection="1">
      <alignment horizontal="center" vertical="center" wrapText="1"/>
      <protection hidden="0" locked="1"/>
    </xf>
    <xf fontId="8" fillId="8" borderId="9" numFmtId="0" xfId="0" applyFont="1" applyFill="1" applyBorder="1" applyAlignment="1" applyProtection="1">
      <alignment horizontal="center" vertical="center" wrapText="1"/>
      <protection hidden="0" locked="1"/>
    </xf>
    <xf fontId="8" fillId="9" borderId="8" numFmtId="0" xfId="0" applyFont="1" applyFill="1" applyBorder="1" applyAlignment="1" applyProtection="1">
      <alignment horizontal="center" vertical="center" wrapText="1"/>
      <protection hidden="0" locked="1"/>
    </xf>
    <xf fontId="8" fillId="9" borderId="9" numFmtId="0" xfId="0" applyFont="1" applyFill="1" applyBorder="1" applyAlignment="1" applyProtection="1">
      <alignment horizontal="center" vertical="center" wrapText="1"/>
      <protection hidden="0" locked="1"/>
    </xf>
    <xf fontId="8" fillId="10" borderId="8" numFmtId="0" xfId="0" applyFont="1" applyFill="1" applyBorder="1" applyAlignment="1" applyProtection="1">
      <alignment horizontal="center" vertical="center" wrapText="1"/>
      <protection hidden="0" locked="1"/>
    </xf>
    <xf fontId="8" fillId="10" borderId="9" numFmtId="0" xfId="0" applyFont="1" applyFill="1" applyBorder="1" applyAlignment="1" applyProtection="1">
      <alignment horizontal="center" vertical="center" wrapText="1"/>
      <protection hidden="0" locked="1"/>
    </xf>
    <xf fontId="7" fillId="11" borderId="8" numFmtId="0" xfId="0" applyFont="1" applyFill="1" applyBorder="1" applyAlignment="1" applyProtection="1">
      <alignment horizontal="center" vertical="center" wrapText="1"/>
      <protection hidden="0" locked="1"/>
    </xf>
    <xf fontId="7" fillId="11" borderId="9" numFmtId="0" xfId="0" applyFont="1" applyFill="1" applyBorder="1" applyAlignment="1" applyProtection="1">
      <alignment horizontal="center" vertical="center" wrapText="1"/>
      <protection hidden="0" locked="1"/>
    </xf>
    <xf fontId="7" fillId="12" borderId="8" numFmtId="0" xfId="0" applyFont="1" applyFill="1" applyBorder="1" applyAlignment="1" applyProtection="1">
      <alignment horizontal="center" vertical="center" wrapText="1"/>
      <protection hidden="0" locked="1"/>
    </xf>
    <xf fontId="7" fillId="12" borderId="9" numFmtId="0" xfId="0" applyFont="1" applyFill="1" applyBorder="1" applyAlignment="1" applyProtection="1">
      <alignment horizontal="center" vertical="center" wrapText="1"/>
      <protection hidden="0" locked="1"/>
    </xf>
    <xf fontId="7" fillId="12" borderId="10" numFmtId="0" xfId="0" applyFont="1" applyFill="1" applyBorder="1" applyAlignment="1" applyProtection="1">
      <alignment horizontal="center" vertical="center" wrapText="1"/>
      <protection hidden="0" locked="1"/>
    </xf>
    <xf fontId="7" fillId="13" borderId="8" numFmtId="0" xfId="0" applyFont="1" applyFill="1" applyBorder="1" applyAlignment="1" applyProtection="1">
      <alignment horizontal="center" vertical="center" wrapText="1"/>
      <protection hidden="0" locked="1"/>
    </xf>
    <xf fontId="7" fillId="13" borderId="9" numFmtId="0" xfId="0" applyFont="1" applyFill="1" applyBorder="1" applyAlignment="1" applyProtection="1">
      <alignment horizontal="center" vertical="center" wrapText="1"/>
      <protection hidden="0" locked="1"/>
    </xf>
    <xf fontId="7" fillId="14" borderId="8" numFmtId="0" xfId="0" applyFont="1" applyFill="1" applyBorder="1" applyAlignment="1" applyProtection="1">
      <alignment horizontal="center" vertical="center" wrapText="1"/>
      <protection hidden="0" locked="1"/>
    </xf>
    <xf fontId="7" fillId="14" borderId="9" numFmtId="0" xfId="0" applyFont="1" applyFill="1" applyBorder="1" applyAlignment="1" applyProtection="1">
      <alignment horizontal="center" vertical="center" wrapText="1"/>
      <protection hidden="0" locked="1"/>
    </xf>
    <xf fontId="8" fillId="15" borderId="8" numFmtId="0" xfId="0" applyFont="1" applyFill="1" applyBorder="1" applyAlignment="1" applyProtection="1">
      <alignment horizontal="center" vertical="center" wrapText="1"/>
      <protection hidden="0" locked="1"/>
    </xf>
    <xf fontId="8" fillId="15" borderId="9" numFmtId="0" xfId="0" applyFont="1" applyFill="1" applyBorder="1" applyAlignment="1" applyProtection="1">
      <alignment horizontal="center" vertical="center" wrapText="1"/>
      <protection hidden="0" locked="1"/>
    </xf>
    <xf fontId="8" fillId="16" borderId="8" numFmtId="0" xfId="0" applyFont="1" applyFill="1" applyBorder="1" applyAlignment="1" applyProtection="1">
      <alignment horizontal="center" vertical="center" wrapText="1"/>
      <protection hidden="0" locked="1"/>
    </xf>
    <xf fontId="8" fillId="16" borderId="9" numFmtId="0" xfId="0" applyFont="1" applyFill="1" applyBorder="1" applyAlignment="1" applyProtection="1">
      <alignment horizontal="center" vertical="center" wrapText="1"/>
      <protection hidden="0" locked="1"/>
    </xf>
    <xf fontId="8" fillId="17" borderId="1" numFmtId="0" xfId="0" applyFont="1" applyFill="1" applyBorder="1" applyAlignment="1" applyProtection="1">
      <alignment horizontal="center" vertical="center" wrapText="1"/>
      <protection hidden="0" locked="1"/>
    </xf>
    <xf fontId="8" fillId="17" borderId="9" numFmtId="0" xfId="0" applyFont="1" applyFill="1" applyBorder="1" applyAlignment="1" applyProtection="1">
      <alignment horizontal="center" vertical="center" wrapText="1"/>
      <protection hidden="0" locked="1"/>
    </xf>
    <xf fontId="1" fillId="0" borderId="0" numFmtId="0" xfId="0" applyFont="1" applyAlignment="1" applyProtection="1">
      <alignment horizontal="center" vertical="center" wrapText="1"/>
      <protection hidden="0" locked="1"/>
    </xf>
    <xf fontId="9" fillId="0" borderId="0" numFmtId="0" xfId="0" applyFont="1" applyAlignment="1" applyProtection="1">
      <alignment horizontal="center" vertical="center" wrapText="1"/>
      <protection hidden="0" locked="1"/>
    </xf>
    <xf fontId="10" fillId="0" borderId="0" numFmtId="0" xfId="0" applyFont="1" applyAlignment="1" applyProtection="1">
      <alignment horizontal="center" vertical="center" wrapText="1"/>
      <protection hidden="0" locked="1"/>
    </xf>
    <xf fontId="8" fillId="0" borderId="0" numFmtId="0" xfId="0" applyFont="1" applyAlignment="1" applyProtection="1">
      <alignment horizontal="center" vertical="center" wrapText="1"/>
      <protection hidden="0" locked="1"/>
    </xf>
    <xf fontId="8" fillId="0" borderId="0" numFmtId="0" xfId="0" applyFont="1" applyAlignment="1" applyProtection="1">
      <alignment vertical="center" wrapText="1"/>
      <protection hidden="0" locked="1"/>
    </xf>
    <xf fontId="8" fillId="0" borderId="1" numFmtId="0" xfId="0" applyFont="1" applyBorder="1" applyAlignment="1" applyProtection="1">
      <alignment horizontal="center" vertical="center" wrapText="1"/>
      <protection hidden="0" locked="1"/>
    </xf>
    <xf fontId="9" fillId="0" borderId="2" numFmtId="0" xfId="0" applyFont="1" applyBorder="1" applyAlignment="1" applyProtection="1">
      <alignment horizontal="center" vertical="center" wrapText="1"/>
      <protection hidden="0" locked="1"/>
    </xf>
    <xf fontId="9" fillId="0" borderId="0" numFmtId="0" xfId="0" applyFont="1" applyAlignment="1" applyProtection="1">
      <alignment horizontal="center" vertical="top" wrapText="1"/>
      <protection hidden="0" locked="1"/>
    </xf>
    <xf fontId="9" fillId="0" borderId="0" numFmtId="0" xfId="0" applyFont="1" applyAlignment="1" applyProtection="1">
      <alignment wrapText="1"/>
      <protection hidden="0" locked="1"/>
    </xf>
    <xf fontId="11" fillId="0" borderId="0" numFmtId="0" xfId="0" applyFont="1" applyAlignment="1" applyProtection="1">
      <alignment vertical="center" wrapText="1"/>
      <protection hidden="0" locked="1"/>
    </xf>
    <xf fontId="12" fillId="0" borderId="0" numFmtId="0" xfId="0" applyFont="1" applyAlignment="1" applyProtection="1">
      <alignment horizontal="center" vertical="center" wrapText="1"/>
      <protection hidden="0" locked="1"/>
    </xf>
    <xf fontId="13" fillId="0" borderId="1" numFmtId="0" xfId="0" applyFont="1" applyBorder="1" applyAlignment="1" applyProtection="1">
      <alignment vertical="center" wrapText="1"/>
      <protection hidden="0" locked="1"/>
    </xf>
    <xf fontId="14" fillId="0" borderId="1" numFmtId="0" xfId="0" applyFont="1" applyBorder="1" applyAlignment="1" applyProtection="1">
      <alignment horizontal="center" vertical="center" wrapText="1"/>
      <protection hidden="0" locked="1"/>
    </xf>
    <xf fontId="14" fillId="0" borderId="0" numFmtId="0" xfId="0" applyFont="1" applyAlignment="1" applyProtection="1">
      <alignment horizontal="center" vertical="center" wrapText="1"/>
      <protection hidden="0" locked="1"/>
    </xf>
    <xf fontId="8" fillId="0" borderId="0" numFmtId="0" xfId="0" applyFont="1" applyAlignment="1" applyProtection="1">
      <alignment horizontal="left" vertical="center" wrapText="1"/>
      <protection hidden="0" locked="1"/>
    </xf>
    <xf fontId="8" fillId="0" borderId="0" numFmtId="0" xfId="0" applyFont="1" applyAlignment="1" applyProtection="1">
      <alignment horizontal="left" vertical="top" wrapText="1"/>
      <protection hidden="0" locked="1"/>
    </xf>
    <xf fontId="15" fillId="0" borderId="0" numFmtId="0" xfId="0" applyFont="1" applyAlignment="1" applyProtection="1">
      <alignment horizontal="center" vertical="center" wrapText="1"/>
      <protection hidden="0" locked="1"/>
    </xf>
    <xf fontId="16" fillId="0" borderId="1" numFmtId="0" xfId="0" applyFont="1" applyBorder="1" applyAlignment="1" applyProtection="1">
      <alignment vertical="top" wrapText="1"/>
      <protection hidden="0" locked="1"/>
    </xf>
    <xf fontId="14" fillId="0" borderId="1" numFmtId="0" xfId="0" applyFont="1" applyBorder="1" applyAlignment="1" applyProtection="1">
      <alignment vertical="top" wrapText="1"/>
      <protection hidden="0" locked="1"/>
    </xf>
    <xf fontId="17" fillId="0" borderId="0" numFmtId="0" xfId="0" applyFont="1" applyAlignment="1" applyProtection="1">
      <alignment vertical="center" wrapText="1"/>
      <protection hidden="0" locked="1"/>
    </xf>
    <xf fontId="8" fillId="0" borderId="0" numFmtId="0" xfId="0" applyFont="1" applyAlignment="1" applyProtection="1">
      <alignment horizontal="center" vertical="top" wrapText="1"/>
      <protection hidden="0" locked="1"/>
    </xf>
    <xf fontId="8" fillId="18" borderId="0" numFmtId="0" xfId="0" applyFont="1" applyFill="1" applyAlignment="1" applyProtection="1">
      <alignment horizontal="center" vertical="center" wrapText="1"/>
      <protection hidden="0" locked="1"/>
    </xf>
    <xf fontId="8" fillId="18" borderId="1" numFmtId="0" xfId="0" applyFont="1" applyFill="1" applyBorder="1" applyAlignment="1" applyProtection="1">
      <alignment horizontal="center" vertical="center" wrapText="1"/>
      <protection hidden="0" locked="1"/>
    </xf>
    <xf fontId="8" fillId="0" borderId="2" numFmtId="0" xfId="0" applyFont="1" applyBorder="1" applyAlignment="1" applyProtection="1">
      <alignment horizontal="center" vertical="center" wrapText="1"/>
      <protection hidden="0" locked="1"/>
    </xf>
    <xf fontId="8" fillId="19" borderId="0" numFmtId="0" xfId="0" applyFont="1" applyFill="1" applyAlignment="1" applyProtection="1">
      <alignment horizontal="center" vertical="center" wrapText="1"/>
      <protection hidden="0" locked="1"/>
    </xf>
    <xf fontId="8" fillId="0" borderId="0" numFmtId="0" xfId="0" applyFont="1" applyAlignment="1" applyProtection="0">
      <alignment vertical="top" wrapText="1"/>
      <protection hidden="0" locked="1"/>
    </xf>
    <xf fontId="11" fillId="0" borderId="0" numFmtId="0" xfId="0" applyFont="1" applyAlignment="1" applyProtection="1">
      <alignment vertical="top" wrapText="1"/>
      <protection hidden="0" locked="1"/>
    </xf>
    <xf fontId="14" fillId="0" borderId="0" numFmtId="0" xfId="0" applyFont="1" applyAlignment="1" applyProtection="1">
      <alignment vertical="center" wrapText="1"/>
      <protection hidden="0" locked="1"/>
    </xf>
    <xf fontId="3" fillId="0" borderId="0" numFmtId="0" xfId="0" applyFont="1" applyAlignment="1" applyProtection="1">
      <alignment horizontal="center" vertical="center" wrapText="1"/>
      <protection hidden="0" locked="1"/>
    </xf>
    <xf fontId="18" fillId="0" borderId="0" numFmtId="0" xfId="0" applyFont="1" applyAlignment="1" applyProtection="1">
      <alignment vertical="center" wrapText="1"/>
      <protection hidden="0" locked="1"/>
    </xf>
    <xf fontId="19" fillId="0" borderId="0" numFmtId="0" xfId="0" applyFont="1" applyAlignment="1" applyProtection="1">
      <alignment horizontal="center" vertical="center" wrapText="1"/>
      <protection hidden="0" locked="1"/>
    </xf>
    <xf fontId="8" fillId="20" borderId="0" numFmtId="0" xfId="0" applyFont="1" applyFill="1" applyAlignment="1" applyProtection="1">
      <alignment horizontal="center" vertical="center" wrapText="1"/>
      <protection hidden="0" locked="1"/>
    </xf>
    <xf fontId="11" fillId="0" borderId="0" numFmtId="0" xfId="0" applyFont="1" applyAlignment="1" applyProtection="1">
      <alignment horizontal="center" vertical="top" wrapText="1"/>
      <protection hidden="0" locked="1"/>
    </xf>
    <xf fontId="20" fillId="0" borderId="1" numFmtId="0" xfId="0" applyFont="1" applyBorder="1" applyAlignment="1" applyProtection="1">
      <alignment horizontal="center" vertical="center" wrapText="1"/>
      <protection hidden="0" locked="1"/>
    </xf>
    <xf fontId="20" fillId="0" borderId="0" numFmtId="0" xfId="0" applyFont="1" applyAlignment="1" applyProtection="1">
      <alignment horizontal="center" vertical="center" wrapText="1"/>
      <protection hidden="0" locked="1"/>
    </xf>
    <xf fontId="9" fillId="0" borderId="0" numFmtId="0" xfId="0" applyFont="1" applyAlignment="1" applyProtection="1">
      <alignment horizontal="left" vertical="top" wrapText="1"/>
      <protection hidden="0" locked="1"/>
    </xf>
    <xf fontId="18" fillId="0" borderId="0" numFmtId="0" xfId="0" applyFont="1" applyAlignment="1" applyProtection="1">
      <alignment horizontal="center" vertical="center" wrapText="1"/>
      <protection hidden="0" locked="1"/>
    </xf>
    <xf fontId="9" fillId="0" borderId="0" numFmtId="0" xfId="0" applyFont="1" applyAlignment="1" applyProtection="1">
      <alignment vertical="center" wrapText="1"/>
      <protection hidden="0" locked="1"/>
    </xf>
    <xf fontId="9" fillId="0" borderId="1" numFmtId="0" xfId="0" applyFont="1" applyBorder="1" applyAlignment="1" applyProtection="1">
      <alignment horizontal="center" vertical="center" wrapText="1"/>
      <protection hidden="0" locked="1"/>
    </xf>
    <xf fontId="21" fillId="0" borderId="1" numFmtId="0" xfId="0" applyFont="1" applyBorder="1" applyAlignment="1" applyProtection="1">
      <alignment horizontal="center" vertical="center" wrapText="1"/>
      <protection hidden="0" locked="1"/>
    </xf>
    <xf fontId="21" fillId="0" borderId="0" numFmtId="0" xfId="0" applyFont="1" applyAlignment="1" applyProtection="1">
      <alignment horizontal="center" vertical="center" wrapText="1"/>
      <protection hidden="0" locked="1"/>
    </xf>
    <xf fontId="22" fillId="0" borderId="1" numFmtId="0" xfId="0" applyFont="1" applyBorder="1" applyAlignment="1" applyProtection="1">
      <alignment vertical="center" wrapText="1"/>
      <protection hidden="0" locked="1"/>
    </xf>
    <xf fontId="23" fillId="0" borderId="0" numFmtId="0" xfId="0" applyFont="1" applyAlignment="1" applyProtection="1">
      <alignment horizontal="center" vertical="center" wrapText="1"/>
      <protection hidden="0" locked="1"/>
    </xf>
    <xf fontId="13" fillId="0" borderId="0" numFmtId="0" xfId="0" applyFont="1" applyAlignment="1" applyProtection="1">
      <alignment horizontal="center" vertical="center" wrapText="1"/>
      <protection hidden="0" locked="1"/>
    </xf>
    <xf fontId="9" fillId="0" borderId="0" numFmtId="0" xfId="0" applyFont="1" applyAlignment="1" applyProtection="1">
      <alignment horizontal="center" vertical="center"/>
      <protection hidden="0" locked="1"/>
    </xf>
    <xf fontId="24" fillId="0" borderId="0" numFmtId="0" xfId="0" applyFont="1" applyAlignment="1" applyProtection="1">
      <alignment horizontal="center" vertical="center" wrapText="1"/>
      <protection hidden="0" locked="1"/>
    </xf>
    <xf fontId="19" fillId="0" borderId="0" numFmtId="0" xfId="0" applyFont="1" applyAlignment="1" applyProtection="1">
      <alignment horizontal="center" vertical="center"/>
      <protection hidden="0" locked="1"/>
    </xf>
    <xf fontId="9" fillId="0" borderId="0" numFmtId="0" xfId="0" applyFont="1" applyAlignment="1" applyProtection="0">
      <alignment horizontal="center" vertical="center" wrapText="1"/>
      <protection hidden="0" locked="1"/>
    </xf>
    <xf fontId="13" fillId="0" borderId="0" numFmtId="0" xfId="0" applyFont="1" applyAlignment="1" applyProtection="0">
      <alignment vertical="center" wrapText="1"/>
      <protection hidden="0" locked="1"/>
    </xf>
    <xf fontId="9" fillId="0" borderId="0" numFmtId="0" xfId="0" applyFont="1" applyAlignment="1" applyProtection="0">
      <alignment vertical="center" wrapText="1"/>
      <protection hidden="0" locked="1"/>
    </xf>
    <xf fontId="25" fillId="0" borderId="0" numFmtId="0" xfId="0" applyFont="1" applyAlignment="1" applyProtection="1">
      <alignment horizontal="center" vertical="center"/>
      <protection hidden="0" locked="1"/>
    </xf>
    <xf fontId="26" fillId="0" borderId="0" numFmtId="0" xfId="0" applyFont="1" applyAlignment="1" applyProtection="1">
      <alignment horizontal="center" vertical="center" wrapText="1"/>
      <protection hidden="0" locked="1"/>
    </xf>
    <xf fontId="26" fillId="0" borderId="1" numFmtId="0" xfId="0" applyFont="1" applyBorder="1" applyAlignment="1" applyProtection="1">
      <alignment horizontal="center" vertical="center" wrapText="1"/>
      <protection hidden="0" locked="1"/>
    </xf>
    <xf fontId="27" fillId="0" borderId="0" numFmtId="0" xfId="0" applyFont="1" applyAlignment="1" applyProtection="1">
      <alignment horizontal="center" vertical="center" wrapText="1"/>
      <protection hidden="0" locked="1"/>
    </xf>
    <xf fontId="3" fillId="0" borderId="0" numFmtId="0" xfId="0" applyFont="1" applyAlignment="1" applyProtection="1">
      <alignment horizontal="justify" vertical="center" wrapText="1"/>
      <protection hidden="0" locked="1"/>
    </xf>
    <xf fontId="28" fillId="0" borderId="0" numFmtId="0" xfId="0" applyFont="1" applyProtection="1">
      <protection hidden="0" locked="1"/>
    </xf>
    <xf fontId="29" fillId="2" borderId="11" numFmtId="0" xfId="0" applyFont="1" applyFill="1" applyBorder="1" applyAlignment="1" applyProtection="1">
      <alignment horizontal="center" vertical="center"/>
      <protection hidden="0" locked="1"/>
    </xf>
    <xf fontId="30" fillId="2" borderId="11" numFmtId="0" xfId="0" applyFont="1" applyFill="1" applyBorder="1" applyAlignment="1" applyProtection="1">
      <alignment horizontal="center" vertical="center" wrapText="1"/>
      <protection hidden="0" locked="1"/>
    </xf>
    <xf fontId="31" fillId="0" borderId="11" numFmtId="0" xfId="0" applyFont="1" applyBorder="1" applyAlignment="1" applyProtection="1">
      <alignment horizontal="center" vertical="center" wrapText="1"/>
      <protection hidden="0" locked="1"/>
    </xf>
    <xf fontId="32" fillId="0" borderId="0" numFmtId="0" xfId="0" applyFont="1" applyProtection="1">
      <protection hidden="0" locked="1"/>
    </xf>
    <xf fontId="32" fillId="0" borderId="11" numFmtId="0" xfId="0" applyFont="1" applyBorder="1" applyAlignment="1" applyProtection="1">
      <alignment horizontal="justify" vertical="center" wrapText="1"/>
      <protection hidden="0" locked="1"/>
    </xf>
    <xf fontId="32" fillId="0" borderId="11" numFmtId="0" xfId="0" applyFont="1" applyBorder="1" applyAlignment="1" applyProtection="1">
      <alignment vertical="top" wrapText="1"/>
      <protection hidden="0" locked="1"/>
    </xf>
    <xf fontId="32" fillId="0" borderId="11" numFmtId="0" xfId="0" applyFont="1" applyBorder="1" applyAlignment="1" applyProtection="1">
      <alignment horizontal="center" vertical="center" wrapText="1"/>
      <protection hidden="0" locked="1"/>
    </xf>
    <xf fontId="32" fillId="0" borderId="11" numFmtId="0" xfId="0" applyFont="1" applyBorder="1" applyAlignment="1" applyProtection="1">
      <alignment horizontal="center" vertical="top" wrapText="1"/>
      <protection hidden="0" locked="1"/>
    </xf>
    <xf fontId="32" fillId="0" borderId="11" numFmtId="0" xfId="0" applyFont="1" applyBorder="1" applyProtection="1">
      <protection hidden="0" locked="1"/>
    </xf>
    <xf fontId="32" fillId="0" borderId="11" numFmtId="0" xfId="0" applyFont="1" applyBorder="1" applyAlignment="1" applyProtection="1">
      <alignment horizontal="center" wrapText="1"/>
      <protection hidden="0" locked="1"/>
    </xf>
    <xf fontId="32" fillId="0" borderId="11" numFmtId="0" xfId="0" applyFont="1" applyBorder="1" applyAlignment="1" applyProtection="1">
      <alignment vertical="center" wrapText="1"/>
      <protection hidden="0" locked="1"/>
    </xf>
    <xf fontId="32" fillId="0" borderId="11" numFmtId="0" xfId="0" applyFont="1" applyBorder="1" applyAlignment="1" applyProtection="1">
      <alignment wrapText="1"/>
      <protection hidden="0" locked="1"/>
    </xf>
    <xf fontId="32" fillId="0" borderId="11" numFmtId="0" xfId="0" applyFont="1" applyBorder="1" applyAlignment="1" applyProtection="1">
      <alignment horizontal="left" vertical="top" wrapText="1"/>
      <protection hidden="0" locked="1"/>
    </xf>
    <xf fontId="33" fillId="0" borderId="11" numFmtId="0" xfId="0" applyFont="1" applyBorder="1" applyAlignment="1" applyProtection="1">
      <alignment wrapText="1"/>
      <protection hidden="0" locked="1"/>
    </xf>
    <xf fontId="33" fillId="0" borderId="11" numFmtId="0" xfId="0" applyFont="1" applyBorder="1" applyProtection="1">
      <protection hidden="0" locked="1"/>
    </xf>
    <xf fontId="34" fillId="0" borderId="0" numFmtId="0" xfId="0" applyFont="1" applyProtection="1">
      <protection hidden="0" locked="1"/>
    </xf>
    <xf fontId="35" fillId="0" borderId="0" numFmtId="0" xfId="0" applyFont="1" applyProtection="1">
      <protection hidden="0" locked="1"/>
    </xf>
    <xf fontId="35" fillId="0" borderId="0" numFmtId="0" xfId="0" applyFont="1" applyAlignment="1" applyProtection="1">
      <alignment horizontal="center"/>
      <protection hidden="0" locked="1"/>
    </xf>
    <xf fontId="28" fillId="21" borderId="5" numFmtId="0" xfId="0" applyFont="1" applyFill="1" applyBorder="1" applyAlignment="1" applyProtection="1">
      <alignment horizontal="center" vertical="center"/>
      <protection hidden="0" locked="1"/>
    </xf>
    <xf fontId="28" fillId="21" borderId="4" numFmtId="0" xfId="0" applyFont="1" applyFill="1" applyBorder="1" applyAlignment="1" applyProtection="1">
      <alignment horizontal="center" vertical="center"/>
      <protection hidden="0" locked="1"/>
    </xf>
    <xf fontId="2" fillId="0" borderId="0" numFmtId="0" xfId="0" applyFont="1" applyAlignment="1" applyProtection="1">
      <alignment vertical="center"/>
      <protection hidden="0" locked="1"/>
    </xf>
    <xf fontId="36" fillId="0" borderId="12" numFmtId="0" xfId="0" applyFont="1" applyBorder="1" applyAlignment="1" applyProtection="1">
      <alignment horizontal="center" vertical="center"/>
      <protection hidden="0" locked="1"/>
    </xf>
    <xf fontId="36" fillId="0" borderId="12" numFmtId="0" xfId="0" applyFont="1" applyBorder="1" applyAlignment="1" applyProtection="1">
      <alignment horizontal="center" vertical="center" wrapText="1"/>
      <protection hidden="0" locked="1"/>
    </xf>
    <xf fontId="32" fillId="0" borderId="12" numFmtId="0" xfId="0" applyFont="1" applyBorder="1" applyAlignment="1" applyProtection="1">
      <alignment horizontal="center" vertical="center"/>
      <protection hidden="0" locked="1"/>
    </xf>
    <xf fontId="32" fillId="0" borderId="13" numFmtId="0" xfId="0" applyFont="1" applyBorder="1" applyAlignment="1" applyProtection="1">
      <alignment horizontal="center" vertical="center"/>
      <protection hidden="0" locked="1"/>
    </xf>
    <xf fontId="35" fillId="0" borderId="0" numFmtId="0" xfId="0" applyFont="1" applyAlignment="1" applyProtection="1">
      <alignment horizontal="center" vertical="center" wrapText="1"/>
      <protection hidden="0" locked="1"/>
    </xf>
    <xf fontId="36" fillId="0" borderId="12" numFmtId="0" xfId="0" applyFont="1" applyBorder="1" applyProtection="1">
      <protection hidden="0" locked="1"/>
    </xf>
    <xf fontId="36" fillId="0" borderId="12" numFmtId="0" xfId="0" applyFont="1" applyBorder="1" applyAlignment="1" applyProtection="1">
      <alignment horizontal="center"/>
      <protection hidden="0" locked="1"/>
    </xf>
    <xf fontId="36" fillId="22" borderId="12" numFmtId="0" xfId="0" applyFont="1" applyFill="1" applyBorder="1" applyAlignment="1" applyProtection="1">
      <alignment horizontal="center" vertical="center"/>
      <protection hidden="0" locked="1"/>
    </xf>
    <xf fontId="36" fillId="22" borderId="13" numFmtId="0" xfId="0" applyFont="1" applyFill="1" applyBorder="1" applyAlignment="1" applyProtection="1">
      <alignment horizontal="center" vertical="center"/>
      <protection hidden="0" locked="1"/>
    </xf>
    <xf fontId="35" fillId="0" borderId="0" numFmtId="0" xfId="0" applyFont="1" applyAlignment="1" applyProtection="1">
      <alignment horizontal="center" vertical="center"/>
      <protection hidden="0" locked="1"/>
    </xf>
    <xf fontId="36" fillId="22" borderId="12" numFmtId="0" xfId="0" applyFont="1" applyFill="1" applyBorder="1" applyAlignment="1" applyProtection="1">
      <alignment horizontal="center"/>
      <protection hidden="0" locked="1"/>
    </xf>
    <xf fontId="36" fillId="22" borderId="13" numFmtId="0" xfId="0" applyFont="1" applyFill="1" applyBorder="1" applyAlignment="1" applyProtection="1">
      <alignment horizontal="center"/>
      <protection hidden="0" locked="1"/>
    </xf>
    <xf fontId="36" fillId="0" borderId="13" numFmtId="0" xfId="0" applyFont="1" applyBorder="1" applyAlignment="1" applyProtection="1">
      <alignment horizontal="center"/>
      <protection hidden="0" locked="1"/>
    </xf>
    <xf fontId="37" fillId="0" borderId="12" numFmtId="0" xfId="0" applyFont="1" applyBorder="1" applyProtection="1">
      <protection hidden="0" locked="1"/>
    </xf>
    <xf fontId="37" fillId="0" borderId="12" numFmtId="0" xfId="0" applyFont="1" applyBorder="1" applyAlignment="1" applyProtection="1">
      <alignment horizontal="center"/>
      <protection hidden="0" locked="1"/>
    </xf>
    <xf fontId="37" fillId="22" borderId="12" numFmtId="0" xfId="0" applyFont="1" applyFill="1" applyBorder="1" applyAlignment="1" applyProtection="1">
      <alignment horizontal="center"/>
      <protection hidden="0" locked="1"/>
    </xf>
    <xf fontId="37" fillId="0" borderId="13" numFmtId="0" xfId="0" applyFont="1" applyBorder="1" applyAlignment="1" applyProtection="1">
      <alignment horizontal="center"/>
      <protection hidden="0" locked="1"/>
    </xf>
    <xf fontId="35" fillId="0" borderId="12" numFmtId="0" xfId="0" applyFont="1" applyBorder="1" applyProtection="1">
      <protection hidden="0" locked="1"/>
    </xf>
    <xf fontId="35" fillId="0" borderId="12" numFmtId="0" xfId="0" applyFont="1" applyBorder="1" applyAlignment="1" applyProtection="1">
      <alignment horizontal="center" vertical="center"/>
      <protection hidden="0" locked="1"/>
    </xf>
    <xf fontId="35" fillId="22" borderId="12" numFmtId="0" xfId="0" applyFont="1" applyFill="1" applyBorder="1" applyAlignment="1" applyProtection="1">
      <alignment horizontal="center" vertical="center"/>
      <protection hidden="0" locked="1"/>
    </xf>
    <xf fontId="35" fillId="0" borderId="13" numFmtId="0" xfId="0" applyFont="1" applyBorder="1" applyAlignment="1" applyProtection="1">
      <alignment horizontal="center" vertical="center"/>
      <protection hidden="0" locked="1"/>
    </xf>
    <xf fontId="17" fillId="0" borderId="12" numFmtId="0" xfId="0" applyFont="1" applyBorder="1" applyProtection="1">
      <protection hidden="0" locked="1"/>
    </xf>
    <xf fontId="17" fillId="0" borderId="12" numFmtId="0" xfId="0" applyFont="1" applyBorder="1" applyAlignment="1" applyProtection="1">
      <alignment horizontal="center"/>
      <protection hidden="0" locked="1"/>
    </xf>
    <xf fontId="17" fillId="0" borderId="12" numFmtId="0" xfId="0" applyFont="1" applyBorder="1" applyAlignment="1" applyProtection="1">
      <alignment horizontal="center" vertical="center"/>
      <protection hidden="0" locked="1"/>
    </xf>
    <xf fontId="17" fillId="22" borderId="12" numFmtId="0" xfId="0" applyFont="1" applyFill="1" applyBorder="1" applyAlignment="1" applyProtection="1">
      <alignment horizontal="center" vertical="center"/>
      <protection hidden="0" locked="1"/>
    </xf>
    <xf fontId="17" fillId="0" borderId="13" numFmtId="0" xfId="0" applyFont="1" applyBorder="1" applyAlignment="1" applyProtection="1">
      <alignment horizontal="center" vertical="center"/>
      <protection hidden="0" locked="1"/>
    </xf>
    <xf fontId="17" fillId="0" borderId="12" numFmtId="0" xfId="0" applyFont="1" applyBorder="1" applyAlignment="1" applyProtection="1">
      <alignment horizontal="left"/>
      <protection hidden="0" locked="1"/>
    </xf>
    <xf fontId="17" fillId="22" borderId="12" numFmtId="0" xfId="0" applyFont="1" applyFill="1" applyBorder="1" applyAlignment="1" applyProtection="1">
      <alignment horizontal="center"/>
      <protection hidden="0" locked="1"/>
    </xf>
    <xf fontId="17" fillId="0" borderId="13" numFmtId="0" xfId="0" applyFont="1" applyBorder="1" applyAlignment="1" applyProtection="1">
      <alignment horizontal="center"/>
      <protection hidden="0" locked="1"/>
    </xf>
    <xf fontId="17" fillId="0" borderId="14" numFmtId="0" xfId="0" applyFont="1" applyBorder="1" applyAlignment="1" applyProtection="1">
      <alignment horizontal="center"/>
      <protection hidden="0" locked="1"/>
    </xf>
    <xf fontId="35" fillId="0" borderId="12" numFmtId="0" xfId="0" applyFont="1" applyBorder="1" applyAlignment="1" applyProtection="1">
      <alignment horizontal="center"/>
      <protection hidden="0" locked="1"/>
    </xf>
    <xf fontId="36" fillId="0" borderId="0" numFmtId="0" xfId="0" applyFont="1" applyProtection="1">
      <protection hidden="0" locked="1"/>
    </xf>
    <xf fontId="38" fillId="11" borderId="15" numFmtId="0" xfId="0" applyFont="1" applyFill="1" applyBorder="1" applyAlignment="1" applyProtection="1">
      <alignment horizontal="center" vertical="center" wrapText="1"/>
      <protection hidden="0" locked="1"/>
    </xf>
    <xf fontId="38" fillId="11" borderId="16" numFmtId="0" xfId="0" applyFont="1" applyFill="1" applyBorder="1" applyAlignment="1" applyProtection="1">
      <alignment horizontal="center" vertical="center" wrapText="1"/>
      <protection hidden="0" locked="1"/>
    </xf>
    <xf fontId="38" fillId="11" borderId="0" numFmtId="0" xfId="0" applyFont="1" applyFill="1" applyAlignment="1" applyProtection="1">
      <alignment horizontal="center" vertical="center" wrapText="1"/>
      <protection hidden="0" locked="1"/>
    </xf>
    <xf fontId="36" fillId="0" borderId="0" numFmtId="0" xfId="0" applyFont="1" applyAlignment="1" applyProtection="1">
      <alignment horizontal="center" vertical="center"/>
      <protection hidden="0" locked="1"/>
    </xf>
    <xf fontId="39" fillId="0" borderId="11" numFmtId="0" xfId="0" applyFont="1" applyBorder="1" applyAlignment="1" applyProtection="1">
      <alignment horizontal="center" vertical="center" wrapText="1"/>
      <protection hidden="0" locked="1"/>
    </xf>
    <xf fontId="39" fillId="0" borderId="17" numFmtId="0" xfId="0" applyFont="1" applyBorder="1" applyAlignment="1" applyProtection="1">
      <alignment horizontal="left" vertical="center" wrapText="1"/>
      <protection hidden="0" locked="1"/>
    </xf>
    <xf fontId="39" fillId="0" borderId="18" numFmtId="0" xfId="0" applyFont="1" applyBorder="1" applyAlignment="1" applyProtection="1">
      <alignment horizontal="left" vertical="center" wrapText="1"/>
      <protection hidden="0" locked="1"/>
    </xf>
    <xf fontId="39" fillId="0" borderId="13" numFmtId="0" xfId="0" applyFont="1" applyBorder="1" applyAlignment="1" applyProtection="1">
      <alignment horizontal="left" vertical="center" wrapText="1"/>
      <protection hidden="0" locked="1"/>
    </xf>
    <xf fontId="40" fillId="0" borderId="18" numFmtId="0" xfId="0" applyFont="1" applyBorder="1" applyAlignment="1" applyProtection="1">
      <alignment horizontal="center" vertical="center" wrapText="1"/>
      <protection hidden="0" locked="1"/>
    </xf>
    <xf fontId="40" fillId="0" borderId="13" numFmtId="0" xfId="0" applyFont="1" applyBorder="1" applyAlignment="1" applyProtection="1">
      <alignment horizontal="center" vertical="center" wrapText="1"/>
      <protection hidden="0" locked="1"/>
    </xf>
    <xf fontId="39" fillId="0" borderId="4" numFmtId="0" xfId="0" applyFont="1" applyBorder="1" applyAlignment="1" applyProtection="1">
      <alignment horizontal="center" vertical="center" wrapText="1"/>
      <protection hidden="0" locked="1"/>
    </xf>
    <xf fontId="40" fillId="0" borderId="4" numFmtId="0" xfId="0" applyFont="1" applyBorder="1" applyAlignment="1" applyProtection="1">
      <alignment horizontal="left" vertical="top" wrapText="1"/>
      <protection hidden="0" locked="1"/>
    </xf>
    <xf fontId="39" fillId="0" borderId="5" numFmtId="0" xfId="0" applyFont="1" applyBorder="1" applyAlignment="1" applyProtection="1">
      <alignment horizontal="center" vertical="center" wrapText="1"/>
      <protection hidden="0" locked="1"/>
    </xf>
    <xf fontId="39" fillId="0" borderId="6" numFmtId="0" xfId="0" applyFont="1" applyBorder="1" applyAlignment="1" applyProtection="1">
      <alignment horizontal="center" vertical="center" wrapText="1"/>
      <protection hidden="0" locked="1"/>
    </xf>
    <xf fontId="39" fillId="0" borderId="14" numFmtId="0" xfId="0" applyFont="1" applyBorder="1" applyAlignment="1" applyProtection="1">
      <alignment horizontal="center" vertical="center" wrapText="1"/>
      <protection hidden="0" locked="1"/>
    </xf>
    <xf fontId="40" fillId="0" borderId="5" numFmtId="0" xfId="0" applyFont="1" applyBorder="1" applyAlignment="1" applyProtection="1">
      <alignment horizontal="left" vertical="top" wrapText="1"/>
      <protection hidden="0" locked="1"/>
    </xf>
    <xf fontId="40" fillId="0" borderId="6" numFmtId="0" xfId="0" applyFont="1" applyBorder="1" applyAlignment="1" applyProtection="1">
      <alignment horizontal="left" vertical="top" wrapText="1"/>
      <protection hidden="0" locked="1"/>
    </xf>
    <xf fontId="40" fillId="0" borderId="14" numFmtId="0" xfId="0" applyFont="1" applyBorder="1" applyAlignment="1" applyProtection="1">
      <alignment horizontal="left" vertical="top" wrapText="1"/>
      <protection hidden="0" locked="1"/>
    </xf>
    <xf fontId="40" fillId="0" borderId="5" numFmtId="0" xfId="0" applyFont="1" applyBorder="1" applyAlignment="1" applyProtection="1">
      <alignment horizontal="center" vertical="center" wrapText="1"/>
      <protection hidden="0" locked="1"/>
    </xf>
    <xf fontId="40" fillId="0" borderId="6" numFmtId="0" xfId="0" applyFont="1" applyBorder="1" applyAlignment="1" applyProtection="1">
      <alignment horizontal="center" vertical="center" wrapText="1"/>
      <protection hidden="0" locked="1"/>
    </xf>
    <xf fontId="40" fillId="0" borderId="14" numFmtId="0" xfId="0" applyFont="1" applyBorder="1" applyAlignment="1" applyProtection="1">
      <alignment horizontal="center" vertical="center" wrapText="1"/>
      <protection hidden="0" locked="1"/>
    </xf>
    <xf fontId="39" fillId="0" borderId="11" numFmtId="0" xfId="0" applyFont="1" applyBorder="1" applyAlignment="1" applyProtection="1">
      <alignment horizontal="left" vertical="top" wrapText="1"/>
      <protection hidden="0" locked="1"/>
    </xf>
    <xf fontId="39" fillId="0" borderId="17" numFmtId="0" xfId="0" applyFont="1" applyBorder="1" applyAlignment="1" applyProtection="1">
      <alignment horizontal="center" vertical="center" wrapText="1"/>
      <protection hidden="0" locked="1"/>
    </xf>
    <xf fontId="39" fillId="0" borderId="18" numFmtId="0" xfId="0" applyFont="1" applyBorder="1" applyAlignment="1" applyProtection="1">
      <alignment horizontal="center" vertical="center" wrapText="1"/>
      <protection hidden="0" locked="1"/>
    </xf>
    <xf fontId="39" fillId="0" borderId="13" numFmtId="0" xfId="0" applyFont="1" applyBorder="1" applyAlignment="1" applyProtection="1">
      <alignment horizontal="center" vertical="center" wrapText="1"/>
      <protection hidden="0" locked="1"/>
    </xf>
    <xf fontId="41" fillId="0" borderId="0" numFmtId="0" xfId="0" applyFont="1" applyProtection="1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7" Type="http://schemas.openxmlformats.org/officeDocument/2006/relationships/styles" Target="styles.xml"/><Relationship  Id="rId6" Type="http://schemas.openxmlformats.org/officeDocument/2006/relationships/sharedStrings" Target="sharedStrings.xml"/><Relationship  Id="rId5" Type="http://schemas.openxmlformats.org/officeDocument/2006/relationships/theme" Target="theme/theme1.xml"/><Relationship  Id="rId4" Type="http://schemas.openxmlformats.org/officeDocument/2006/relationships/worksheet" Target="worksheets/sheet3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charts/_rels/chart1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ru-RU" sz="1400" b="0" strike="noStrike" spc="-1">
                <a:solidFill>
                  <a:srgbClr val="595959"/>
                </a:solidFill>
                <a:latin typeface="Calibri"/>
                <a:ea typeface="Arial"/>
              </a:defRPr>
            </a:pPr>
            <a:r>
              <a:rPr lang="ru-RU" sz="1400" b="0" strike="noStrike" spc="-1">
                <a:solidFill>
                  <a:srgbClr val="595959"/>
                </a:solidFill>
                <a:latin typeface="Calibri"/>
                <a:ea typeface="Arial"/>
              </a:rPr>
              <a:t>Инфографика звонков отдела СРТП 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2966"/>
          <c:y val="0.166824"/>
          <c:w val="0.892458"/>
          <c:h val="0.5478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 xml:space="preserve">'Количественная аналитика'!$A$4:$A$36</c:f>
            </c:strRef>
          </c:tx>
          <c:spPr bwMode="auto">
            <a:prstGeom prst="rect">
              <a:avLst/>
            </a:prstGeom>
            <a:solidFill>
              <a:srgbClr val="5B9BD5"/>
            </a:solidFill>
            <a:ln w="0">
              <a:noFill/>
            </a:ln>
          </c:spPr>
          <c:invertIfNegative val="0"/>
          <c:dLbls>
            <c:dLblPos val="outEnd"/>
            <c:separator xml:space="preserve">; </c:separator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  <a:endParaRPr/>
              </a:p>
            </c:txPr>
          </c:dLbls>
          <c:cat>
            <c:strRef>
              <c:f xml:space="preserve">'Количественная аналитика'!$A$4:$A$36</c:f>
            </c:strRef>
          </c:cat>
          <c:val>
            <c:numRef>
              <c:f xml:space="preserve">'Количественная аналитика'!$B$4:$B$36</c:f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219"/>
        <c:overlap val="-26"/>
        <c:axId val="93499013"/>
        <c:axId val="54822387"/>
      </c:barChart>
      <c:catAx>
        <c:axId val="934990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Arial"/>
              </a:defRPr>
            </a:pPr>
            <a:endParaRPr/>
          </a:p>
        </c:txPr>
        <c:crossAx val="54822387"/>
        <c:crosses val="autoZero"/>
        <c:auto val="1"/>
        <c:lblAlgn val="ctr"/>
        <c:lblOffset val="100"/>
        <c:noMultiLvlLbl val="0"/>
      </c:catAx>
      <c:valAx>
        <c:axId val="54822387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Arial"/>
              </a:defRPr>
            </a:pPr>
            <a:endParaRPr/>
          </a:p>
        </c:txPr>
        <c:crossAx val="93499013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plotVisOnly val="1"/>
    <c:dispBlanksAs val="gap"/>
    <c:showDLblsOverMax val="0"/>
  </c:chart>
  <c:spPr bwMode="auto">
    <a:xfrm>
      <a:off x="8572498" y="0"/>
      <a:ext cx="5543550" cy="5915021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1857240</xdr:colOff>
      <xdr:row>2</xdr:row>
      <xdr:rowOff>838080</xdr:rowOff>
    </xdr:from>
    <xdr:to>
      <xdr:col>2</xdr:col>
      <xdr:colOff>74520</xdr:colOff>
      <xdr:row>2</xdr:row>
      <xdr:rowOff>855720</xdr:rowOff>
    </xdr:to>
    <xdr:sp>
      <xdr:nvSpPr>
        <xdr:cNvPr id="0" name=""/>
        <xdr:cNvSpPr/>
      </xdr:nvSpPr>
      <xdr:spPr bwMode="auto">
        <a:xfrm>
          <a:off x="4021920" y="1276200"/>
          <a:ext cx="381960" cy="17640"/>
        </a:xfrm>
        <a:custGeom>
          <a:avLst/>
          <a:gdLst>
            <a:gd name="textAreaLeft" fmla="*/ 0 w 381960"/>
            <a:gd name="textAreaRight" fmla="*/ 383400 w 381960"/>
            <a:gd name="textAreaTop" fmla="*/ 0 h 17640"/>
            <a:gd name="textAreaBottom" fmla="*/ 19080 h 17640"/>
          </a:gdLst>
          <a:ahLst/>
          <a:cxnLst/>
          <a:rect l="textAreaLeft" t="textAreaTop" r="textAreaRight" b="textAreaBottom"/>
          <a:pathLst>
            <a:path w="43200" h="43200" fill="none" stroke="1" extrusionOk="0">
              <a:moveTo>
                <a:pt x="0" y="21600"/>
              </a:moveTo>
              <a:cubicBezTo>
                <a:pt x="6171" y="43200"/>
                <a:pt x="12342" y="43200"/>
                <a:pt x="18514" y="21600"/>
              </a:cubicBezTo>
              <a:cubicBezTo>
                <a:pt x="24685" y="21600"/>
                <a:pt x="30857" y="21600"/>
                <a:pt x="37028" y="0"/>
              </a:cubicBezTo>
              <a:lnTo>
                <a:pt x="43200" y="0"/>
              </a:lnTo>
            </a:path>
          </a:pathLst>
        </a:custGeom>
        <a:noFill/>
        <a:ln w="36000">
          <a:solidFill>
            <a:srgbClr val="479ED2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</xdr:col>
      <xdr:colOff>2028960</xdr:colOff>
      <xdr:row>2</xdr:row>
      <xdr:rowOff>771480</xdr:rowOff>
    </xdr:from>
    <xdr:to>
      <xdr:col>2</xdr:col>
      <xdr:colOff>103320</xdr:colOff>
      <xdr:row>2</xdr:row>
      <xdr:rowOff>941400</xdr:rowOff>
    </xdr:to>
    <xdr:sp>
      <xdr:nvSpPr>
        <xdr:cNvPr id="1" name=""/>
        <xdr:cNvSpPr/>
      </xdr:nvSpPr>
      <xdr:spPr bwMode="auto">
        <a:xfrm>
          <a:off x="4193640" y="1209600"/>
          <a:ext cx="239040" cy="169920"/>
        </a:xfrm>
        <a:custGeom>
          <a:avLst/>
          <a:gdLst>
            <a:gd name="textAreaLeft" fmla="*/ 0 w 239040"/>
            <a:gd name="textAreaRight" fmla="*/ 240480 w 239040"/>
            <a:gd name="textAreaTop" fmla="*/ 0 h 169920"/>
            <a:gd name="textAreaBottom" fmla="*/ 171360 h 169920"/>
          </a:gdLst>
          <a:ahLst/>
          <a:cxnLst/>
          <a:rect l="textAreaLeft" t="textAreaTop" r="textAreaRight" b="textAreaBottom"/>
          <a:pathLst>
            <a:path w="43200" h="43200" fill="none" stroke="1" extrusionOk="0">
              <a:moveTo>
                <a:pt x="3323" y="0"/>
              </a:moveTo>
              <a:cubicBezTo>
                <a:pt x="16615" y="4800"/>
                <a:pt x="29907" y="12000"/>
                <a:pt x="43200" y="14399"/>
              </a:cubicBezTo>
              <a:cubicBezTo>
                <a:pt x="33230" y="21599"/>
                <a:pt x="19938" y="28799"/>
                <a:pt x="6646" y="33599"/>
              </a:cubicBezTo>
              <a:lnTo>
                <a:pt x="0" y="43200"/>
              </a:lnTo>
            </a:path>
          </a:pathLst>
        </a:custGeom>
        <a:noFill/>
        <a:ln w="36000">
          <a:solidFill>
            <a:srgbClr val="479ED2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11</xdr:col>
      <xdr:colOff>9523</xdr:colOff>
      <xdr:row>0</xdr:row>
      <xdr:rowOff>0</xdr:rowOff>
    </xdr:from>
    <xdr:to>
      <xdr:col>15</xdr:col>
      <xdr:colOff>400049</xdr:colOff>
      <xdr:row>30</xdr:row>
      <xdr:rowOff>180971</xdr:rowOff>
    </xdr:to>
    <xdr:graphicFrame>
      <xdr:nvGraphicFramePr>
        <xdr:cNvPr id="2" name="Диаграмма 1241802548"/>
        <xdr:cNvGraphicFramePr>
          <a:graphicFrameLocks xmlns:a="http://schemas.openxmlformats.org/drawingml/2006/main"/>
        </xdr:cNvGraphicFramePr>
      </xdr:nvGraphicFramePr>
      <xdr:xfrm>
        <a:off x="8572498" y="0"/>
        <a:ext cx="5543550" cy="5915021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pstaver" id="{BB848AA3-73F1-CCC7-8675-78F853B413D8}" userId="apstaver" providerId="Teamlab"/>
  <person displayName="&lt;анонимный&gt;" id="{426C044F-F752-3EBE-0CB3-DCDC5A1F29E7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S11" dT="2026-06-24T11:05:49.78Z" personId="{BB848AA3-73F1-CCC7-8675-78F853B413D8}" id="{7A36D591-5026-A77C-731A-B42CBB4B07E6}" done="0">
    <text xml:space="preserve">Кошик
</text>
  </threadedComment>
  <threadedComment ref="BU12" dT="2026-05-26T06:08:43.44Z" personId="{BB848AA3-73F1-CCC7-8675-78F853B413D8}" id="{C0856490-28B3-ABE5-29E5-A3C8088F540A}" done="0">
    <text xml:space="preserve">Кошик, Гасанов
</text>
  </threadedComment>
  <threadedComment ref="C3" personId="{426C044F-F752-3EBE-0CB3-DCDC5A1F29E7}" id="{002000AF-0034-4B52-9945-006D00FE004D}" done="0">
    <text xml:space="preserve">sur:
АС
</text>
  </threadedComment>
  <threadedComment ref="BQ3" dT="2026-05-28T12:14:40.92Z" personId="{BB848AA3-73F1-CCC7-8675-78F853B413D8}" id="{1BDAFC80-BEDF-6867-79E6-ED59D616EBB1}" done="0">
    <text xml:space="preserve">Ставер
</text>
  </threadedComment>
  <threadedComment ref="BT3" dT="2026-05-26T05:44:08.60Z" personId="{BB848AA3-73F1-CCC7-8675-78F853B413D8}" id="{FF7EC16E-B7C5-0BB9-54ED-10F49B6778C5}" done="0">
    <text xml:space="preserve">Ставер
</text>
  </threadedComment>
  <threadedComment ref="BU3" dT="2026-05-26T05:44:08.60Z" personId="{BB848AA3-73F1-CCC7-8675-78F853B413D8}" id="{DD9B5FF7-93FB-276C-D49B-4CC4B5EF50A7}" done="0">
    <text xml:space="preserve">Ставер
</text>
  </threadedComment>
  <threadedComment ref="C4" personId="{426C044F-F752-3EBE-0CB3-DCDC5A1F29E7}" id="{00AA0082-003A-472B-A959-00DF00CC0063}" done="0">
    <text xml:space="preserve">sur:
АС
</text>
  </threadedComment>
  <threadedComment ref="BP4" dT="2026-05-28T12:14:54.80Z" personId="{BB848AA3-73F1-CCC7-8675-78F853B413D8}" id="{AE6D22BC-4794-AEC7-9A56-C75D676CC73F}" done="0">
    <text xml:space="preserve">Ставер
</text>
  </threadedComment>
  <threadedComment ref="BU4" dT="2026-05-26T05:44:18.10Z" personId="{BB848AA3-73F1-CCC7-8675-78F853B413D8}" id="{85302ABA-13AF-017C-64EA-B4CD87FF48B2}" done="0">
    <text xml:space="preserve">Мулявин
</text>
  </threadedComment>
  <threadedComment ref="C5" personId="{426C044F-F752-3EBE-0CB3-DCDC5A1F29E7}" id="{0094005F-0037-4F66-8159-00510022002F}" done="0">
    <text xml:space="preserve">sur:
АС
</text>
  </threadedComment>
  <threadedComment ref="E5" personId="{426C044F-F752-3EBE-0CB3-DCDC5A1F29E7}" id="{00020045-0050-40B5-A0A5-007200AC009C}" done="0">
    <text xml:space="preserve">sur:
МС
</text>
  </threadedComment>
  <threadedComment ref="BP5" dT="2026-05-26T05:44:18.10Z" personId="{BB848AA3-73F1-CCC7-8675-78F853B413D8}" id="{21829C90-2351-64A3-EDAB-E15EA5203A47}" done="0">
    <text xml:space="preserve">Ставер
</text>
  </threadedComment>
  <threadedComment ref="BT5" dT="2026-05-26T05:44:26.43Z" personId="{BB848AA3-73F1-CCC7-8675-78F853B413D8}" id="{A4D9EA6B-4076-9C83-27C9-68F5FB1BAEB4}" done="0">
    <text xml:space="preserve">Ставер
</text>
  </threadedComment>
  <threadedComment ref="BV5" dT="2026-05-26T05:47:43.47Z" personId="{BB848AA3-73F1-CCC7-8675-78F853B413D8}" id="{4C5BF61B-4513-0474-D250-373EBE2357E9}" done="0">
    <text xml:space="preserve">Ставер, Лычев, Ананьев
</text>
  </threadedComment>
  <threadedComment ref="BW5" dT="2026-06-26T04:21:58.37Z" personId="{BB848AA3-73F1-CCC7-8675-78F853B413D8}" id="{9065D3B8-FB63-4CD9-5264-06F340BD7F72}" done="0">
    <text xml:space="preserve">Ставер, Ананьев
</text>
  </threadedComment>
  <threadedComment ref="E6" personId="{426C044F-F752-3EBE-0CB3-DCDC5A1F29E7}" id="{004900C1-0053-4DE6-8AE6-00A400B2004F}" done="0">
    <text xml:space="preserve">sur:
АС
</text>
  </threadedComment>
  <threadedComment ref="F6" personId="{426C044F-F752-3EBE-0CB3-DCDC5A1F29E7}" id="{000900F5-000D-4EDA-94D6-008B00A0001F}" done="0">
    <text xml:space="preserve">sur:
МС
</text>
  </threadedComment>
  <threadedComment ref="BP6" dT="2026-05-26T05:49:26.47Z" personId="{BB848AA3-73F1-CCC7-8675-78F853B413D8}" id="{02FD8472-F1C4-F0C2-60B9-3395153A7DEB}" done="0">
    <text xml:space="preserve">Ставер
</text>
  </threadedComment>
  <threadedComment ref="BT6" dT="2026-05-26T05:47:32.16Z" personId="{BB848AA3-73F1-CCC7-8675-78F853B413D8}" id="{7465DE8B-76AC-86A1-7DEE-F48BE5D11476}" done="0">
    <text xml:space="preserve">Ставер
</text>
  </threadedComment>
  <threadedComment ref="BU6" dT="2026-05-26T05:44:26.43Z" personId="{BB848AA3-73F1-CCC7-8675-78F853B413D8}" id="{F68BD222-A06E-CDBF-6BEB-CF50AC5E94F4}" done="0">
    <text xml:space="preserve">Ставер
</text>
  </threadedComment>
  <threadedComment ref="B7" personId="{426C044F-F752-3EBE-0CB3-DCDC5A1F29E7}" id="{001A002A-0010-487E-BA9E-00B00046002F}" done="0">
    <text xml:space="preserve">sur:
МЧ
</text>
  </threadedComment>
  <threadedComment ref="C7" personId="{426C044F-F752-3EBE-0CB3-DCDC5A1F29E7}" id="{003C0073-003C-4CED-9E88-00F7009C00BC}" done="0">
    <text xml:space="preserve">sur:
МЧ+АР
</text>
  </threadedComment>
  <threadedComment ref="D7" personId="{426C044F-F752-3EBE-0CB3-DCDC5A1F29E7}" id="{008A001E-009E-486A-9A5C-00DD001700EE}" done="0">
    <text xml:space="preserve">sur:
МЧ+АР
</text>
  </threadedComment>
  <threadedComment ref="E7" personId="{426C044F-F752-3EBE-0CB3-DCDC5A1F29E7}" id="{00E50023-00CA-4AB6-8EF5-00D500A9003F}" done="0">
    <text xml:space="preserve">sur:
АС
</text>
  </threadedComment>
  <threadedComment ref="F7" personId="{426C044F-F752-3EBE-0CB3-DCDC5A1F29E7}" id="{00A000A9-00A5-48E3-9C8D-007B00D30010}" done="0">
    <text xml:space="preserve">sur:
МС
</text>
  </threadedComment>
  <threadedComment ref="BP7" dT="2026-05-26T06:08:43.44Z" personId="{BB848AA3-73F1-CCC7-8675-78F853B413D8}" id="{DCDBF670-F4B6-EAAF-2170-098A2C828275}" done="0">
    <text xml:space="preserve">Кошик, Гасанов
</text>
  </threadedComment>
  <threadedComment ref="BT7" dT="2026-06-26T04:17:12.66Z" personId="{BB848AA3-73F1-CCC7-8675-78F853B413D8}" id="{6D23C66C-3DBA-A955-6A96-EF878D0394E3}" done="0">
    <text xml:space="preserve">Ставер
</text>
  </threadedComment>
  <threadedComment ref="E8" personId="{426C044F-F752-3EBE-0CB3-DCDC5A1F29E7}" id="{00CB006A-0085-47DD-982A-001100A00041}" done="0">
    <text xml:space="preserve">sur:
АС
</text>
  </threadedComment>
  <threadedComment ref="F8" personId="{426C044F-F752-3EBE-0CB3-DCDC5A1F29E7}" id="{00250091-00BE-4DE6-BA12-00A00047009C}" done="0">
    <text xml:space="preserve">sur:
АС
</text>
  </threadedComment>
  <threadedComment ref="BP8" dT="2026-05-26T06:08:43.44Z" personId="{BB848AA3-73F1-CCC7-8675-78F853B413D8}" id="{C40C920B-F22E-EDE2-6D14-8650659E438D}" done="0">
    <text xml:space="preserve">Кошик, Гасанов
</text>
  </threadedComment>
  <threadedComment ref="BR8" dT="2026-06-24T11:00:27.38Z" personId="{BB848AA3-73F1-CCC7-8675-78F853B413D8}" id="{CF35F684-2E1E-D153-0160-6A7C57A6D593}" done="0">
    <text xml:space="preserve">Кошие, Гасанов
</text>
  </threadedComment>
  <threadedComment ref="BT8" dT="2026-05-26T06:08:43.44Z" personId="{BB848AA3-73F1-CCC7-8675-78F853B413D8}" id="{D5F8F225-5BA4-8293-2EDD-BA832E3B195F}" done="0">
    <text xml:space="preserve">Ставер
</text>
  </threadedComment>
  <threadedComment ref="BU8" dT="2026-06-26T04:39:09.50Z" personId="{BB848AA3-73F1-CCC7-8675-78F853B413D8}" id="{972CEB12-3D8C-0650-1EC2-07980699E6E2}" done="0">
    <text xml:space="preserve">Ставер, Лычев, Ананьев
</text>
  </threadedComment>
  <threadedComment ref="D9" personId="{426C044F-F752-3EBE-0CB3-DCDC5A1F29E7}" id="{00400002-0061-4130-9874-003E00660067}" done="0">
    <text xml:space="preserve">sur:
АС
</text>
  </threadedComment>
  <threadedComment ref="BP9" dT="2026-05-26T06:24:40.59Z" personId="{BB848AA3-73F1-CCC7-8675-78F853B413D8}" id="{C7FBC54C-94C2-4926-9F8B-7830A73CF4A4}" done="0">
    <text xml:space="preserve">Кошик, Гасанов
</text>
  </threadedComment>
  <threadedComment ref="BR9" dT="2026-05-28T12:14:23.05Z" personId="{BB848AA3-73F1-CCC7-8675-78F853B413D8}" id="{FC1BBD68-50DD-C2A2-B2C0-F186DCA51F97}" done="0">
    <text xml:space="preserve">Кошик
</text>
  </threadedComment>
  <threadedComment ref="E10" personId="{426C044F-F752-3EBE-0CB3-DCDC5A1F29E7}" id="{006400B8-0078-4122-84E6-00CF007D0035}" done="0">
    <text xml:space="preserve">sur:
АС
</text>
  </threadedComment>
  <threadedComment ref="F10" personId="{426C044F-F752-3EBE-0CB3-DCDC5A1F29E7}" id="{00EB00C1-00FD-494F-9951-009200CA0018}" done="0">
    <text xml:space="preserve">sur:
МС
</text>
  </threadedComment>
  <threadedComment ref="BQ10" dT="2026-05-26T05:44:08.60Z" personId="{BB848AA3-73F1-CCC7-8675-78F853B413D8}" id="{4E964E8C-682D-A3DA-FD4A-68F6E85BAAD3}" done="0">
    <text xml:space="preserve">Ставер
</text>
  </threadedComment>
  <threadedComment ref="BT10" dT="2026-05-26T06:24:40.59Z" personId="{BB848AA3-73F1-CCC7-8675-78F853B413D8}" id="{AE330CE0-7D89-5678-42E8-533586FAF8E5}" done="0">
    <text xml:space="preserve">Лычев, Ананьев, Ставер
</text>
  </threadedComment>
</ThreadedComments>
</file>

<file path=xl/worksheets/_rels/sheet1.xml.rels><?xml version="1.0" encoding="UTF-8" standalone="yes"?><Relationships xmlns="http://schemas.openxmlformats.org/package/2006/relationships"><Relationship  Id="rId4" Type="http://schemas.openxmlformats.org/officeDocument/2006/relationships/vmlDrawing" Target="../drawings/vmlDrawing1.vml"/><Relationship  Id="rId3" Type="http://schemas.openxmlformats.org/officeDocument/2006/relationships/drawing" Target="../drawings/drawing1.x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GridLines="1" showRowColHeaders="1" showZeros="1" showRuler="1" view="normal" topLeftCell="BR1" zoomScale="100" workbookViewId="0">
      <selection activeCell="AT6" activeCellId="0" sqref="AT6"/>
    </sheetView>
  </sheetViews>
  <sheetFormatPr defaultColWidth="9.1484375" defaultRowHeight="14.25"/>
  <cols>
    <col customWidth="1" min="1" max="2" style="2" width="30.710000000000001"/>
    <col customWidth="1" min="3" max="4" style="2" width="35.710000000000001"/>
    <col customWidth="1" min="5" max="6" style="2" width="30.710000000000001"/>
    <col customWidth="1" min="7" max="8" style="2" width="35.710000000000001"/>
    <col customWidth="1" min="9" max="10" style="2" width="30.710000000000001"/>
    <col customWidth="1" min="11" max="11" style="2" width="35.710000000000001"/>
    <col customWidth="1" min="12" max="13" style="2" width="30.710000000000001"/>
    <col customWidth="1" min="14" max="15" style="2" width="35.710000000000001"/>
    <col customWidth="1" min="16" max="39" style="3" width="35.710000000000001"/>
    <col customWidth="1" min="40" max="40" style="4" width="35.710000000000001"/>
    <col customWidth="1" min="41" max="43" style="3" width="35.710000000000001"/>
    <col customWidth="1" min="44" max="44" style="5" width="35.710000000000001"/>
    <col customWidth="1" min="45" max="46" style="2" width="35.710000000000001"/>
    <col customWidth="1" min="47" max="47" style="6" width="35.710000000000001"/>
    <col customWidth="1" min="48" max="67" style="2" width="35.710000000000001"/>
    <col customWidth="1" min="68" max="71" style="1" width="35.7109375"/>
    <col customWidth="1" min="72" max="72" style="7" width="35.7109375"/>
    <col customWidth="1" min="73" max="75" style="1" width="35.7109375"/>
    <col customWidth="0" min="76" max="16384" style="1" width="9.1400000000000006"/>
  </cols>
  <sheetData>
    <row r="1" ht="19.5" customHeight="1">
      <c r="A1" s="8" t="s">
        <v>0</v>
      </c>
      <c r="B1" s="8"/>
      <c r="C1" s="8"/>
      <c r="D1" s="8"/>
      <c r="E1" s="9" t="s">
        <v>1</v>
      </c>
      <c r="F1" s="9"/>
      <c r="G1" s="9"/>
      <c r="H1" s="9"/>
      <c r="I1" s="10" t="s">
        <v>2</v>
      </c>
      <c r="J1" s="10"/>
      <c r="K1" s="10"/>
      <c r="L1" s="11" t="s">
        <v>3</v>
      </c>
      <c r="M1" s="11"/>
      <c r="N1" s="11"/>
      <c r="O1" s="12"/>
      <c r="P1" s="13" t="s">
        <v>4</v>
      </c>
      <c r="Q1" s="13"/>
      <c r="R1" s="13"/>
      <c r="S1" s="13"/>
      <c r="T1" s="14" t="s">
        <v>5</v>
      </c>
      <c r="U1" s="14"/>
      <c r="V1" s="14"/>
      <c r="W1" s="14"/>
      <c r="X1" s="15">
        <v>45778</v>
      </c>
      <c r="Y1" s="15"/>
      <c r="Z1" s="15"/>
      <c r="AA1" s="15"/>
      <c r="AB1" s="16" t="s">
        <v>6</v>
      </c>
      <c r="AC1" s="16"/>
      <c r="AD1" s="16"/>
      <c r="AE1" s="16"/>
      <c r="AF1" s="17" t="s">
        <v>7</v>
      </c>
      <c r="AG1" s="17"/>
      <c r="AH1" s="17"/>
      <c r="AI1" s="17"/>
      <c r="AJ1" s="18" t="s">
        <v>8</v>
      </c>
      <c r="AK1" s="18"/>
      <c r="AL1" s="18"/>
      <c r="AM1" s="18"/>
      <c r="AN1" s="19" t="s">
        <v>9</v>
      </c>
      <c r="AO1" s="19"/>
      <c r="AP1" s="19"/>
      <c r="AQ1" s="19"/>
      <c r="AR1" s="20" t="s">
        <v>10</v>
      </c>
      <c r="AS1" s="20"/>
      <c r="AT1" s="20"/>
      <c r="AU1" s="21"/>
      <c r="AV1" s="22" t="s">
        <v>11</v>
      </c>
      <c r="AW1" s="22"/>
      <c r="AX1" s="22"/>
      <c r="AY1" s="22"/>
      <c r="AZ1" s="23" t="s">
        <v>12</v>
      </c>
      <c r="BA1" s="23"/>
      <c r="BB1" s="23"/>
      <c r="BC1" s="23"/>
      <c r="BD1" s="24" t="s">
        <v>13</v>
      </c>
      <c r="BE1" s="24"/>
      <c r="BF1" s="24"/>
      <c r="BG1" s="24"/>
      <c r="BH1" s="25" t="s">
        <v>14</v>
      </c>
      <c r="BI1" s="25"/>
      <c r="BJ1" s="25"/>
      <c r="BK1" s="25"/>
      <c r="BL1" s="26" t="s">
        <v>15</v>
      </c>
      <c r="BM1" s="26"/>
      <c r="BN1" s="26"/>
      <c r="BO1" s="26"/>
      <c r="BP1" s="27" t="s">
        <v>16</v>
      </c>
      <c r="BQ1" s="28"/>
      <c r="BR1" s="28"/>
      <c r="BS1" s="28"/>
      <c r="BT1" s="29" t="s">
        <v>17</v>
      </c>
      <c r="BU1" s="30"/>
      <c r="BV1" s="30"/>
      <c r="BW1" s="30"/>
    </row>
    <row r="2" ht="15">
      <c r="A2" s="31" t="s">
        <v>18</v>
      </c>
      <c r="B2" s="32" t="s">
        <v>19</v>
      </c>
      <c r="C2" s="32" t="s">
        <v>20</v>
      </c>
      <c r="D2" s="32" t="s">
        <v>21</v>
      </c>
      <c r="E2" s="33" t="s">
        <v>22</v>
      </c>
      <c r="F2" s="34" t="s">
        <v>23</v>
      </c>
      <c r="G2" s="34" t="s">
        <v>24</v>
      </c>
      <c r="H2" s="35" t="s">
        <v>25</v>
      </c>
      <c r="I2" s="36" t="s">
        <v>26</v>
      </c>
      <c r="J2" s="37" t="s">
        <v>27</v>
      </c>
      <c r="K2" s="37" t="s">
        <v>28</v>
      </c>
      <c r="L2" s="38" t="s">
        <v>29</v>
      </c>
      <c r="M2" s="39" t="s">
        <v>30</v>
      </c>
      <c r="N2" s="39" t="s">
        <v>31</v>
      </c>
      <c r="O2" s="39" t="s">
        <v>32</v>
      </c>
      <c r="P2" s="40" t="s">
        <v>33</v>
      </c>
      <c r="Q2" s="41" t="s">
        <v>34</v>
      </c>
      <c r="R2" s="41" t="s">
        <v>35</v>
      </c>
      <c r="S2" s="41" t="s">
        <v>36</v>
      </c>
      <c r="T2" s="33" t="s">
        <v>37</v>
      </c>
      <c r="U2" s="34" t="s">
        <v>38</v>
      </c>
      <c r="V2" s="34" t="s">
        <v>39</v>
      </c>
      <c r="W2" s="34" t="s">
        <v>40</v>
      </c>
      <c r="X2" s="42" t="s">
        <v>41</v>
      </c>
      <c r="Y2" s="43" t="s">
        <v>42</v>
      </c>
      <c r="Z2" s="43" t="s">
        <v>43</v>
      </c>
      <c r="AA2" s="43" t="s">
        <v>44</v>
      </c>
      <c r="AB2" s="44" t="s">
        <v>45</v>
      </c>
      <c r="AC2" s="45" t="s">
        <v>46</v>
      </c>
      <c r="AD2" s="45" t="s">
        <v>47</v>
      </c>
      <c r="AE2" s="45" t="s">
        <v>48</v>
      </c>
      <c r="AF2" s="46" t="s">
        <v>49</v>
      </c>
      <c r="AG2" s="47" t="s">
        <v>50</v>
      </c>
      <c r="AH2" s="47" t="s">
        <v>51</v>
      </c>
      <c r="AI2" s="47" t="s">
        <v>52</v>
      </c>
      <c r="AJ2" s="48" t="s">
        <v>53</v>
      </c>
      <c r="AK2" s="49" t="s">
        <v>54</v>
      </c>
      <c r="AL2" s="49" t="s">
        <v>55</v>
      </c>
      <c r="AM2" s="49" t="s">
        <v>56</v>
      </c>
      <c r="AN2" s="50" t="s">
        <v>57</v>
      </c>
      <c r="AO2" s="51" t="s">
        <v>58</v>
      </c>
      <c r="AP2" s="51" t="s">
        <v>59</v>
      </c>
      <c r="AQ2" s="51" t="s">
        <v>60</v>
      </c>
      <c r="AR2" s="52" t="s">
        <v>61</v>
      </c>
      <c r="AS2" s="53" t="s">
        <v>62</v>
      </c>
      <c r="AT2" s="53" t="s">
        <v>63</v>
      </c>
      <c r="AU2" s="54" t="s">
        <v>64</v>
      </c>
      <c r="AV2" s="55" t="s">
        <v>65</v>
      </c>
      <c r="AW2" s="56" t="s">
        <v>66</v>
      </c>
      <c r="AX2" s="56" t="s">
        <v>67</v>
      </c>
      <c r="AY2" s="56" t="s">
        <v>68</v>
      </c>
      <c r="AZ2" s="57" t="s">
        <v>69</v>
      </c>
      <c r="BA2" s="58" t="s">
        <v>70</v>
      </c>
      <c r="BB2" s="58" t="s">
        <v>71</v>
      </c>
      <c r="BC2" s="58" t="s">
        <v>72</v>
      </c>
      <c r="BD2" s="59" t="s">
        <v>73</v>
      </c>
      <c r="BE2" s="60" t="s">
        <v>74</v>
      </c>
      <c r="BF2" s="60" t="s">
        <v>75</v>
      </c>
      <c r="BG2" s="60" t="s">
        <v>76</v>
      </c>
      <c r="BH2" s="61" t="s">
        <v>77</v>
      </c>
      <c r="BI2" s="62" t="s">
        <v>78</v>
      </c>
      <c r="BJ2" s="62" t="s">
        <v>79</v>
      </c>
      <c r="BK2" s="62" t="s">
        <v>80</v>
      </c>
      <c r="BL2" s="42" t="s">
        <v>81</v>
      </c>
      <c r="BM2" s="43" t="s">
        <v>82</v>
      </c>
      <c r="BN2" s="43" t="s">
        <v>83</v>
      </c>
      <c r="BO2" s="43" t="s">
        <v>84</v>
      </c>
      <c r="BP2" s="59" t="s">
        <v>85</v>
      </c>
      <c r="BQ2" s="60" t="s">
        <v>86</v>
      </c>
      <c r="BR2" s="60" t="s">
        <v>87</v>
      </c>
      <c r="BS2" s="60" t="s">
        <v>88</v>
      </c>
      <c r="BT2" s="63" t="s">
        <v>89</v>
      </c>
      <c r="BU2" s="64" t="s">
        <v>90</v>
      </c>
      <c r="BV2" s="64" t="s">
        <v>91</v>
      </c>
      <c r="BW2" s="64" t="s">
        <v>92</v>
      </c>
    </row>
    <row r="3" ht="54" customHeight="1">
      <c r="A3" s="65" t="s">
        <v>93</v>
      </c>
      <c r="B3" s="66" t="s">
        <v>94</v>
      </c>
      <c r="C3" s="66" t="s">
        <v>95</v>
      </c>
      <c r="D3" s="66"/>
      <c r="E3" s="67" t="s">
        <v>96</v>
      </c>
      <c r="F3" s="67"/>
      <c r="G3" s="66" t="s">
        <v>97</v>
      </c>
      <c r="H3" s="66"/>
      <c r="I3" s="68" t="s">
        <v>98</v>
      </c>
      <c r="J3" s="68"/>
      <c r="K3" s="66" t="s">
        <v>99</v>
      </c>
      <c r="L3" s="68" t="s">
        <v>100</v>
      </c>
      <c r="M3" s="68"/>
      <c r="N3" s="66" t="s">
        <v>101</v>
      </c>
      <c r="O3" s="66" t="s">
        <v>102</v>
      </c>
      <c r="P3" s="68" t="s">
        <v>103</v>
      </c>
      <c r="Q3" s="69" t="s">
        <v>104</v>
      </c>
      <c r="R3" s="66" t="s">
        <v>105</v>
      </c>
      <c r="S3" s="66" t="s">
        <v>106</v>
      </c>
      <c r="T3" s="68" t="s">
        <v>107</v>
      </c>
      <c r="U3" s="69" t="s">
        <v>108</v>
      </c>
      <c r="V3" s="66" t="s">
        <v>109</v>
      </c>
      <c r="W3" s="66" t="s">
        <v>110</v>
      </c>
      <c r="X3" s="68" t="s">
        <v>111</v>
      </c>
      <c r="Y3" s="69"/>
      <c r="Z3" s="66" t="s">
        <v>112</v>
      </c>
      <c r="AA3" s="66" t="s">
        <v>113</v>
      </c>
      <c r="AB3" s="68" t="s">
        <v>114</v>
      </c>
      <c r="AC3" s="69" t="s">
        <v>115</v>
      </c>
      <c r="AD3" s="66" t="s">
        <v>116</v>
      </c>
      <c r="AE3" s="66" t="s">
        <v>117</v>
      </c>
      <c r="AF3" s="68" t="s">
        <v>114</v>
      </c>
      <c r="AG3" s="69" t="s">
        <v>115</v>
      </c>
      <c r="AH3" s="66" t="s">
        <v>116</v>
      </c>
      <c r="AI3" s="66" t="s">
        <v>117</v>
      </c>
      <c r="AJ3" s="68" t="s">
        <v>111</v>
      </c>
      <c r="AK3" s="68" t="s">
        <v>118</v>
      </c>
      <c r="AL3" s="66" t="s">
        <v>119</v>
      </c>
      <c r="AM3" s="68" t="s">
        <v>120</v>
      </c>
      <c r="AN3" s="70" t="s">
        <v>111</v>
      </c>
      <c r="AO3" s="68" t="s">
        <v>121</v>
      </c>
      <c r="AP3" s="66" t="s">
        <v>122</v>
      </c>
      <c r="AQ3" s="66" t="s">
        <v>123</v>
      </c>
      <c r="AR3" s="70"/>
      <c r="AS3" s="68"/>
      <c r="AT3" s="66" t="s">
        <v>124</v>
      </c>
      <c r="AU3" s="71" t="s">
        <v>125</v>
      </c>
      <c r="AV3" s="66"/>
      <c r="AW3" s="66"/>
      <c r="AX3" s="66"/>
      <c r="AY3" s="66"/>
      <c r="AZ3" s="69" t="s">
        <v>126</v>
      </c>
      <c r="BA3" s="66" t="s">
        <v>127</v>
      </c>
      <c r="BB3" s="66" t="s">
        <v>128</v>
      </c>
      <c r="BC3" s="66" t="s">
        <v>129</v>
      </c>
      <c r="BD3" s="68" t="s">
        <v>130</v>
      </c>
      <c r="BE3" s="68"/>
      <c r="BF3" s="68"/>
      <c r="BG3" s="66" t="s">
        <v>131</v>
      </c>
      <c r="BH3" s="69" t="s">
        <v>132</v>
      </c>
      <c r="BI3" s="69" t="s">
        <v>133</v>
      </c>
      <c r="BJ3" s="69" t="s">
        <v>134</v>
      </c>
      <c r="BK3" s="72" t="s">
        <v>135</v>
      </c>
      <c r="BL3" s="69" t="s">
        <v>136</v>
      </c>
      <c r="BM3" s="69" t="s">
        <v>137</v>
      </c>
      <c r="BN3" s="69"/>
      <c r="BO3" s="66"/>
      <c r="BP3" s="73" t="s">
        <v>138</v>
      </c>
      <c r="BQ3" s="74" t="s">
        <v>136</v>
      </c>
      <c r="BR3" s="74"/>
      <c r="BS3" s="75" t="s">
        <v>139</v>
      </c>
      <c r="BT3" s="76" t="s">
        <v>140</v>
      </c>
      <c r="BU3" s="77" t="s">
        <v>141</v>
      </c>
      <c r="BV3" s="78"/>
      <c r="BW3" s="66"/>
    </row>
    <row r="4" ht="54" customHeight="1">
      <c r="A4" s="65" t="s">
        <v>142</v>
      </c>
      <c r="B4" s="66" t="s">
        <v>143</v>
      </c>
      <c r="C4" s="72" t="s">
        <v>144</v>
      </c>
      <c r="D4" s="72"/>
      <c r="E4" s="72"/>
      <c r="F4" s="72"/>
      <c r="G4" s="72"/>
      <c r="H4" s="72"/>
      <c r="I4" s="72"/>
      <c r="J4" s="72"/>
      <c r="K4" s="79" t="s">
        <v>145</v>
      </c>
      <c r="L4" s="72"/>
      <c r="M4" s="72" t="s">
        <v>146</v>
      </c>
      <c r="N4" s="79" t="s">
        <v>147</v>
      </c>
      <c r="O4" s="80" t="s">
        <v>148</v>
      </c>
      <c r="P4" s="72" t="s">
        <v>149</v>
      </c>
      <c r="Q4" s="72" t="s">
        <v>150</v>
      </c>
      <c r="R4" s="68" t="s">
        <v>151</v>
      </c>
      <c r="S4" s="79" t="s">
        <v>152</v>
      </c>
      <c r="T4" s="72" t="s">
        <v>153</v>
      </c>
      <c r="U4" s="72" t="s">
        <v>154</v>
      </c>
      <c r="V4" s="69" t="s">
        <v>155</v>
      </c>
      <c r="W4" s="79"/>
      <c r="X4" s="72" t="s">
        <v>156</v>
      </c>
      <c r="Y4" s="72"/>
      <c r="Z4" s="68" t="s">
        <v>157</v>
      </c>
      <c r="AA4" s="68"/>
      <c r="AB4" s="68" t="s">
        <v>111</v>
      </c>
      <c r="AC4" s="72" t="s">
        <v>158</v>
      </c>
      <c r="AD4" s="69" t="s">
        <v>159</v>
      </c>
      <c r="AE4" s="69"/>
      <c r="AF4" s="68" t="s">
        <v>111</v>
      </c>
      <c r="AG4" s="72" t="s">
        <v>158</v>
      </c>
      <c r="AH4" s="69" t="s">
        <v>159</v>
      </c>
      <c r="AJ4" s="66" t="s">
        <v>160</v>
      </c>
      <c r="AK4" s="66" t="s">
        <v>161</v>
      </c>
      <c r="AL4" s="66" t="s">
        <v>162</v>
      </c>
      <c r="AM4" s="68" t="s">
        <v>163</v>
      </c>
      <c r="AN4" s="70" t="s">
        <v>164</v>
      </c>
      <c r="AO4" s="66"/>
      <c r="AP4" s="68" t="s">
        <v>165</v>
      </c>
      <c r="AQ4" s="66" t="s">
        <v>166</v>
      </c>
      <c r="AR4" s="70"/>
      <c r="AS4" s="66"/>
      <c r="AT4" s="68" t="s">
        <v>167</v>
      </c>
      <c r="AU4" s="71" t="s">
        <v>168</v>
      </c>
      <c r="AV4" s="81" t="s">
        <v>169</v>
      </c>
      <c r="AW4" s="81"/>
      <c r="AX4" s="81"/>
      <c r="AY4" s="81"/>
      <c r="AZ4" s="69" t="s">
        <v>170</v>
      </c>
      <c r="BA4" s="66" t="s">
        <v>171</v>
      </c>
      <c r="BB4" s="69" t="s">
        <v>172</v>
      </c>
      <c r="BC4" s="69" t="s">
        <v>173</v>
      </c>
      <c r="BD4" s="69" t="s">
        <v>174</v>
      </c>
      <c r="BE4" s="69" t="s">
        <v>175</v>
      </c>
      <c r="BF4" s="69" t="s">
        <v>176</v>
      </c>
      <c r="BG4" s="69" t="s">
        <v>177</v>
      </c>
      <c r="BH4" s="69" t="s">
        <v>178</v>
      </c>
      <c r="BI4" s="69"/>
      <c r="BJ4" s="69" t="s">
        <v>179</v>
      </c>
      <c r="BK4" s="69" t="s">
        <v>180</v>
      </c>
      <c r="BL4" s="69" t="s">
        <v>178</v>
      </c>
      <c r="BM4" s="69" t="s">
        <v>181</v>
      </c>
      <c r="BN4" s="69"/>
      <c r="BO4" s="69"/>
      <c r="BP4" s="74" t="s">
        <v>178</v>
      </c>
      <c r="BQ4" s="1" t="s">
        <v>182</v>
      </c>
      <c r="BR4" s="69"/>
      <c r="BS4" s="74" t="s">
        <v>183</v>
      </c>
      <c r="BT4" s="82" t="s">
        <v>184</v>
      </c>
      <c r="BU4" s="83" t="s">
        <v>185</v>
      </c>
      <c r="BV4" s="1"/>
      <c r="BW4" s="84" t="s">
        <v>186</v>
      </c>
    </row>
    <row r="5" ht="54" customHeight="1">
      <c r="A5" s="65" t="s">
        <v>187</v>
      </c>
      <c r="B5" s="68" t="s">
        <v>188</v>
      </c>
      <c r="C5" s="80" t="s">
        <v>189</v>
      </c>
      <c r="D5" s="69" t="s">
        <v>190</v>
      </c>
      <c r="E5" s="68" t="s">
        <v>191</v>
      </c>
      <c r="F5" s="68"/>
      <c r="G5" s="68" t="s">
        <v>192</v>
      </c>
      <c r="H5" s="68"/>
      <c r="I5" s="85" t="s">
        <v>193</v>
      </c>
      <c r="J5" s="69" t="s">
        <v>194</v>
      </c>
      <c r="K5" s="72" t="s">
        <v>195</v>
      </c>
      <c r="L5" s="85"/>
      <c r="M5" s="69" t="s">
        <v>196</v>
      </c>
      <c r="N5" s="72"/>
      <c r="O5" s="72"/>
      <c r="P5" s="85" t="s">
        <v>197</v>
      </c>
      <c r="Q5" s="69"/>
      <c r="R5" s="72" t="s">
        <v>198</v>
      </c>
      <c r="S5" s="72" t="s">
        <v>199</v>
      </c>
      <c r="T5" s="85" t="s">
        <v>200</v>
      </c>
      <c r="U5" s="69" t="s">
        <v>201</v>
      </c>
      <c r="V5" s="72" t="s">
        <v>202</v>
      </c>
      <c r="W5" s="72"/>
      <c r="X5" s="68" t="s">
        <v>203</v>
      </c>
      <c r="Y5" s="68"/>
      <c r="Z5" s="68" t="s">
        <v>204</v>
      </c>
      <c r="AA5" s="68"/>
      <c r="AB5" s="68" t="s">
        <v>205</v>
      </c>
      <c r="AC5" s="68"/>
      <c r="AD5" s="68"/>
      <c r="AE5" s="68"/>
      <c r="AF5" s="68" t="s">
        <v>205</v>
      </c>
      <c r="AG5" s="68"/>
      <c r="AH5" s="68"/>
      <c r="AI5" s="68"/>
      <c r="AJ5" s="86" t="s">
        <v>206</v>
      </c>
      <c r="AK5" s="86"/>
      <c r="AL5" s="86"/>
      <c r="AM5" s="86"/>
      <c r="AN5" s="87"/>
      <c r="AO5" s="68" t="s">
        <v>207</v>
      </c>
      <c r="AP5" s="68"/>
      <c r="AQ5" s="68"/>
      <c r="AR5" s="70"/>
      <c r="AS5" s="68"/>
      <c r="AT5" s="68"/>
      <c r="AU5" s="88" t="s">
        <v>208</v>
      </c>
      <c r="AV5" s="69"/>
      <c r="AW5" s="69"/>
      <c r="AX5" s="69" t="s">
        <v>209</v>
      </c>
      <c r="AY5" s="69"/>
      <c r="AZ5" s="69" t="s">
        <v>210</v>
      </c>
      <c r="BA5" s="69"/>
      <c r="BB5" s="69" t="s">
        <v>211</v>
      </c>
      <c r="BC5" s="69" t="s">
        <v>212</v>
      </c>
      <c r="BD5" s="69"/>
      <c r="BE5" s="69" t="s">
        <v>213</v>
      </c>
      <c r="BF5" s="69" t="s">
        <v>214</v>
      </c>
      <c r="BG5" s="69" t="s">
        <v>215</v>
      </c>
      <c r="BH5" s="69"/>
      <c r="BI5" s="69"/>
      <c r="BJ5" s="69"/>
      <c r="BK5" s="69" t="s">
        <v>216</v>
      </c>
      <c r="BL5" s="89" t="s">
        <v>217</v>
      </c>
      <c r="BM5" s="89"/>
      <c r="BN5" s="69"/>
      <c r="BO5" s="69"/>
      <c r="BP5" s="74" t="s">
        <v>218</v>
      </c>
      <c r="BQ5" s="90" t="s">
        <v>219</v>
      </c>
      <c r="BR5" s="91" t="s">
        <v>220</v>
      </c>
      <c r="BS5" s="74" t="s">
        <v>221</v>
      </c>
      <c r="BT5" s="77" t="s">
        <v>222</v>
      </c>
      <c r="BU5" s="78"/>
      <c r="BV5" s="92" t="s">
        <v>223</v>
      </c>
      <c r="BW5" s="92" t="s">
        <v>224</v>
      </c>
    </row>
    <row r="6" ht="54" customHeight="1">
      <c r="A6" s="93" t="s">
        <v>225</v>
      </c>
      <c r="B6" s="68" t="s">
        <v>226</v>
      </c>
      <c r="C6" s="66" t="s">
        <v>227</v>
      </c>
      <c r="D6" s="66" t="s">
        <v>228</v>
      </c>
      <c r="E6" s="66" t="s">
        <v>229</v>
      </c>
      <c r="F6" s="94"/>
      <c r="G6" s="68" t="s">
        <v>230</v>
      </c>
      <c r="H6" s="68"/>
      <c r="I6" s="95"/>
      <c r="J6" s="68" t="s">
        <v>231</v>
      </c>
      <c r="K6" s="68" t="s">
        <v>232</v>
      </c>
      <c r="L6" s="95"/>
      <c r="M6" s="68"/>
      <c r="N6" s="68"/>
      <c r="O6" s="68"/>
      <c r="P6" s="72" t="s">
        <v>233</v>
      </c>
      <c r="Q6" s="68" t="s">
        <v>234</v>
      </c>
      <c r="R6" s="68" t="s">
        <v>235</v>
      </c>
      <c r="S6" s="68" t="s">
        <v>236</v>
      </c>
      <c r="T6" s="85" t="s">
        <v>237</v>
      </c>
      <c r="U6" s="68" t="s">
        <v>170</v>
      </c>
      <c r="V6" s="68" t="s">
        <v>238</v>
      </c>
      <c r="W6" s="68"/>
      <c r="X6" s="68" t="s">
        <v>239</v>
      </c>
      <c r="Y6" s="68"/>
      <c r="Z6" s="68"/>
      <c r="AA6" s="68"/>
      <c r="AB6" s="68" t="s">
        <v>240</v>
      </c>
      <c r="AC6" s="68"/>
      <c r="AD6" s="68"/>
      <c r="AE6" s="69"/>
      <c r="AF6" s="68" t="s">
        <v>240</v>
      </c>
      <c r="AG6" s="68"/>
      <c r="AH6" s="68"/>
      <c r="AI6" s="69" t="s">
        <v>241</v>
      </c>
      <c r="AJ6" s="69"/>
      <c r="AK6" s="69"/>
      <c r="AL6" s="69"/>
      <c r="AM6" s="68" t="s">
        <v>242</v>
      </c>
      <c r="AN6" s="70"/>
      <c r="AO6" s="68"/>
      <c r="AP6" s="68" t="s">
        <v>243</v>
      </c>
      <c r="AQ6" s="68" t="s">
        <v>244</v>
      </c>
      <c r="AR6" s="70"/>
      <c r="AS6" s="68"/>
      <c r="AT6" s="68"/>
      <c r="AU6" s="88" t="s">
        <v>245</v>
      </c>
      <c r="AV6" s="68"/>
      <c r="AW6" s="68"/>
      <c r="AX6" s="69" t="s">
        <v>246</v>
      </c>
      <c r="AY6" s="68"/>
      <c r="AZ6" s="68"/>
      <c r="BA6" s="68"/>
      <c r="BB6" s="69"/>
      <c r="BC6" s="68"/>
      <c r="BD6" s="68"/>
      <c r="BE6" s="68" t="s">
        <v>247</v>
      </c>
      <c r="BF6" s="68"/>
      <c r="BG6" s="68"/>
      <c r="BH6" s="68"/>
      <c r="BI6" s="69"/>
      <c r="BJ6" s="96" t="s">
        <v>248</v>
      </c>
      <c r="BK6" s="96"/>
      <c r="BL6" s="96"/>
      <c r="BM6" s="96"/>
      <c r="BN6" s="96"/>
      <c r="BO6" s="69"/>
      <c r="BP6" s="74" t="s">
        <v>249</v>
      </c>
      <c r="BQ6" s="85" t="s">
        <v>250</v>
      </c>
      <c r="BR6" s="97" t="s">
        <v>251</v>
      </c>
      <c r="BS6" s="97" t="s">
        <v>252</v>
      </c>
      <c r="BT6" s="82" t="s">
        <v>253</v>
      </c>
      <c r="BU6" s="98" t="s">
        <v>254</v>
      </c>
      <c r="BV6" s="99"/>
      <c r="BW6" s="84" t="s">
        <v>255</v>
      </c>
    </row>
    <row r="7" ht="54" customHeight="1">
      <c r="A7" s="65" t="s">
        <v>256</v>
      </c>
      <c r="B7" s="100" t="s">
        <v>257</v>
      </c>
      <c r="C7" s="66" t="s">
        <v>258</v>
      </c>
      <c r="D7" s="66" t="s">
        <v>259</v>
      </c>
      <c r="E7" s="68" t="s">
        <v>260</v>
      </c>
      <c r="F7" s="101"/>
      <c r="G7" s="101"/>
      <c r="H7" s="66" t="s">
        <v>261</v>
      </c>
      <c r="I7" s="95"/>
      <c r="J7" s="101" t="s">
        <v>262</v>
      </c>
      <c r="K7" s="101"/>
      <c r="L7" s="95"/>
      <c r="M7" s="101"/>
      <c r="N7" s="101"/>
      <c r="O7" s="101"/>
      <c r="P7" s="66" t="s">
        <v>263</v>
      </c>
      <c r="Q7" s="66"/>
      <c r="R7" s="66"/>
      <c r="S7" s="66"/>
      <c r="T7" s="102"/>
      <c r="U7" s="102" t="s">
        <v>264</v>
      </c>
      <c r="V7" s="102" t="s">
        <v>265</v>
      </c>
      <c r="W7" s="102"/>
      <c r="X7" s="102" t="s">
        <v>266</v>
      </c>
      <c r="Y7" s="102"/>
      <c r="Z7" s="102"/>
      <c r="AA7" s="102" t="s">
        <v>267</v>
      </c>
      <c r="AB7" s="66" t="s">
        <v>268</v>
      </c>
      <c r="AC7" s="66"/>
      <c r="AD7" s="66"/>
      <c r="AE7" s="66"/>
      <c r="AF7" s="66" t="s">
        <v>268</v>
      </c>
      <c r="AG7" s="66"/>
      <c r="AH7" s="66"/>
      <c r="AI7" s="66"/>
      <c r="AJ7" s="66"/>
      <c r="AK7" s="66"/>
      <c r="AL7" s="66"/>
      <c r="AM7" s="66"/>
      <c r="AN7" s="103"/>
      <c r="AO7" s="66"/>
      <c r="AP7" s="66"/>
      <c r="AQ7" s="66"/>
      <c r="AR7" s="103"/>
      <c r="AS7" s="66"/>
      <c r="AT7" s="66"/>
      <c r="AU7" s="71" t="s">
        <v>269</v>
      </c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104" t="s">
        <v>270</v>
      </c>
      <c r="BQ7" s="105" t="s">
        <v>271</v>
      </c>
      <c r="BR7" s="105" t="s">
        <v>272</v>
      </c>
      <c r="BS7" s="105"/>
      <c r="BT7" s="106" t="s">
        <v>273</v>
      </c>
      <c r="BU7" s="92"/>
      <c r="BV7" s="92" t="s">
        <v>274</v>
      </c>
      <c r="BW7" s="66" t="s">
        <v>275</v>
      </c>
    </row>
    <row r="8" ht="54" customHeight="1">
      <c r="A8" s="107"/>
      <c r="B8" s="66"/>
      <c r="C8" s="72"/>
      <c r="D8" s="66" t="s">
        <v>276</v>
      </c>
      <c r="E8" s="66"/>
      <c r="F8" s="68" t="s">
        <v>277</v>
      </c>
      <c r="G8" s="68"/>
      <c r="H8" s="68"/>
      <c r="I8" s="66"/>
      <c r="J8" s="102" t="s">
        <v>278</v>
      </c>
      <c r="K8" s="66" t="s">
        <v>279</v>
      </c>
      <c r="L8" s="66"/>
      <c r="M8" s="102"/>
      <c r="N8" s="66"/>
      <c r="O8" s="66"/>
      <c r="P8" s="66"/>
      <c r="Q8" s="102"/>
      <c r="R8" s="66"/>
      <c r="S8" s="66"/>
      <c r="T8" s="66"/>
      <c r="U8" s="102" t="s">
        <v>280</v>
      </c>
      <c r="V8" s="66" t="s">
        <v>281</v>
      </c>
      <c r="W8" s="66"/>
      <c r="X8" s="66"/>
      <c r="Y8" s="102"/>
      <c r="Z8" s="66"/>
      <c r="AA8" s="66"/>
      <c r="AB8" s="66" t="s">
        <v>282</v>
      </c>
      <c r="AC8" s="102"/>
      <c r="AD8" s="66"/>
      <c r="AE8" s="66" t="s">
        <v>283</v>
      </c>
      <c r="AF8" s="66" t="s">
        <v>282</v>
      </c>
      <c r="AG8" s="102"/>
      <c r="AH8" s="66" t="s">
        <v>284</v>
      </c>
      <c r="AI8" s="66"/>
      <c r="AJ8" s="66"/>
      <c r="AK8" s="66"/>
      <c r="AL8" s="66"/>
      <c r="AM8" s="66"/>
      <c r="AN8" s="103"/>
      <c r="AO8" s="66"/>
      <c r="AP8" s="66"/>
      <c r="AQ8" s="66"/>
      <c r="AR8" s="103"/>
      <c r="AS8" s="66"/>
      <c r="AT8" s="66"/>
      <c r="AU8" s="71" t="s">
        <v>285</v>
      </c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103" t="s">
        <v>286</v>
      </c>
      <c r="BQ8" s="66"/>
      <c r="BR8" s="105" t="s">
        <v>287</v>
      </c>
      <c r="BS8" s="105"/>
      <c r="BT8" s="82" t="s">
        <v>288</v>
      </c>
      <c r="BU8" s="78"/>
      <c r="BV8" s="66"/>
      <c r="BW8" s="66"/>
    </row>
    <row r="9" ht="54" customHeight="1">
      <c r="A9" s="107"/>
      <c r="B9" s="100"/>
      <c r="C9" s="66"/>
      <c r="D9" s="68" t="s">
        <v>289</v>
      </c>
      <c r="E9" s="68"/>
      <c r="F9" s="68" t="s">
        <v>290</v>
      </c>
      <c r="G9" s="66"/>
      <c r="H9" s="101" t="s">
        <v>187</v>
      </c>
      <c r="I9" s="66"/>
      <c r="J9" s="66"/>
      <c r="K9" s="66" t="s">
        <v>291</v>
      </c>
      <c r="L9" s="66"/>
      <c r="M9" s="66"/>
      <c r="N9" s="66"/>
      <c r="O9" s="66"/>
      <c r="P9" s="66"/>
      <c r="Q9" s="66"/>
      <c r="R9" s="66"/>
      <c r="S9" s="66"/>
      <c r="T9" s="66"/>
      <c r="U9" s="102"/>
      <c r="V9" s="66" t="s">
        <v>292</v>
      </c>
      <c r="W9" s="66"/>
      <c r="X9" s="66"/>
      <c r="Y9" s="102"/>
      <c r="Z9" s="66"/>
      <c r="AA9" s="66"/>
      <c r="AB9" s="66"/>
      <c r="AC9" s="102"/>
      <c r="AD9" s="66"/>
      <c r="AE9" s="66"/>
      <c r="AF9" s="66"/>
      <c r="AG9" s="102"/>
      <c r="AH9" s="66"/>
      <c r="AI9" s="66"/>
      <c r="AJ9" s="66"/>
      <c r="AK9" s="102"/>
      <c r="AL9" s="66"/>
      <c r="AM9" s="66"/>
      <c r="AN9" s="103"/>
      <c r="AO9" s="102"/>
      <c r="AP9" s="66"/>
      <c r="AQ9" s="66"/>
      <c r="AR9" s="103"/>
      <c r="AS9" s="66"/>
      <c r="AT9" s="66" t="s">
        <v>293</v>
      </c>
      <c r="AU9" s="71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103" t="s">
        <v>294</v>
      </c>
      <c r="BQ9" s="66"/>
      <c r="BR9" s="108" t="s">
        <v>295</v>
      </c>
      <c r="BS9" s="108"/>
      <c r="BT9" s="108"/>
      <c r="BV9" s="66"/>
      <c r="BW9" s="69" t="s">
        <v>296</v>
      </c>
    </row>
    <row r="10" ht="54" customHeight="1">
      <c r="A10" s="107"/>
      <c r="B10" s="109"/>
      <c r="C10" s="109"/>
      <c r="D10" s="109" t="s">
        <v>297</v>
      </c>
      <c r="E10" s="68" t="s">
        <v>298</v>
      </c>
      <c r="F10" s="109" t="s">
        <v>299</v>
      </c>
      <c r="G10" s="110"/>
      <c r="H10" s="68" t="s">
        <v>300</v>
      </c>
      <c r="I10" s="111"/>
      <c r="J10" s="110"/>
      <c r="K10" s="66" t="s">
        <v>301</v>
      </c>
      <c r="L10" s="66"/>
      <c r="M10" s="66"/>
      <c r="N10" s="66"/>
      <c r="O10" s="66"/>
      <c r="P10" s="66"/>
      <c r="Q10" s="66"/>
      <c r="R10" s="66"/>
      <c r="S10" s="66"/>
      <c r="T10" s="66" t="s">
        <v>302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103"/>
      <c r="AO10" s="66"/>
      <c r="AP10" s="66"/>
      <c r="AQ10" s="66"/>
      <c r="AR10" s="103"/>
      <c r="AS10" s="66"/>
      <c r="AT10" s="66"/>
      <c r="AU10" s="71"/>
      <c r="AV10" s="95" t="s">
        <v>303</v>
      </c>
      <c r="AW10" s="95"/>
      <c r="AX10" s="66"/>
      <c r="AY10" s="66"/>
      <c r="AZ10" s="95" t="s">
        <v>303</v>
      </c>
      <c r="BA10" s="95"/>
      <c r="BB10" s="66"/>
      <c r="BC10" s="66"/>
      <c r="BD10" s="95" t="s">
        <v>303</v>
      </c>
      <c r="BE10" s="95"/>
      <c r="BF10" s="66"/>
      <c r="BG10" s="66"/>
      <c r="BH10" s="95" t="s">
        <v>303</v>
      </c>
      <c r="BI10" s="95"/>
      <c r="BJ10" s="66"/>
      <c r="BK10" s="66"/>
      <c r="BL10" s="95" t="s">
        <v>303</v>
      </c>
      <c r="BM10" s="95"/>
      <c r="BN10" s="66"/>
      <c r="BO10" s="66"/>
      <c r="BP10" s="73" t="s">
        <v>304</v>
      </c>
      <c r="BQ10" s="112" t="s">
        <v>305</v>
      </c>
      <c r="BR10" s="112"/>
      <c r="BS10" s="112"/>
      <c r="BT10" s="82" t="s">
        <v>306</v>
      </c>
      <c r="BU10" s="82"/>
      <c r="BV10" s="66"/>
      <c r="BW10" s="66"/>
    </row>
    <row r="11" ht="54" customHeight="1">
      <c r="B11" s="109"/>
      <c r="C11" s="109"/>
      <c r="D11" s="66" t="s">
        <v>307</v>
      </c>
      <c r="E11" s="109"/>
      <c r="F11" s="66" t="s">
        <v>308</v>
      </c>
      <c r="G11" s="109"/>
      <c r="H11" s="66" t="s">
        <v>309</v>
      </c>
      <c r="I11" s="66"/>
      <c r="J11" s="109"/>
      <c r="K11" s="66" t="s">
        <v>310</v>
      </c>
      <c r="L11" s="66"/>
      <c r="M11" s="66"/>
      <c r="N11" s="66"/>
      <c r="O11" s="66"/>
      <c r="P11" s="66"/>
      <c r="Q11" s="66"/>
      <c r="R11" s="66"/>
      <c r="S11" s="66"/>
      <c r="T11" s="66" t="s">
        <v>147</v>
      </c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103"/>
      <c r="AO11" s="66"/>
      <c r="AP11" s="66"/>
      <c r="AQ11" s="66"/>
      <c r="AR11" s="103"/>
      <c r="AS11" s="66"/>
      <c r="AT11" s="66"/>
      <c r="AU11" s="71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85" t="s">
        <v>311</v>
      </c>
      <c r="BQ11" s="85"/>
      <c r="BR11" s="66" t="s">
        <v>312</v>
      </c>
      <c r="BS11" s="66"/>
      <c r="BT11" s="113" t="s">
        <v>178</v>
      </c>
      <c r="BU11" s="114"/>
      <c r="BV11" s="114"/>
      <c r="BW11" s="114"/>
    </row>
    <row r="12" ht="54" customHeight="1">
      <c r="D12" s="93"/>
      <c r="F12" s="115"/>
      <c r="G12" s="115"/>
      <c r="I12" s="116"/>
      <c r="L12" s="116"/>
      <c r="P12" s="116"/>
      <c r="Q12" s="2"/>
      <c r="R12" s="2"/>
      <c r="S12" s="2"/>
      <c r="T12" s="116"/>
      <c r="U12" s="2"/>
      <c r="V12" s="2"/>
      <c r="W12" s="2"/>
      <c r="X12" s="116"/>
      <c r="Y12" s="2"/>
      <c r="Z12" s="2"/>
      <c r="AA12" s="2"/>
      <c r="AB12" s="116"/>
      <c r="AC12" s="2"/>
      <c r="AD12" s="2"/>
      <c r="AE12" s="2"/>
      <c r="AF12" s="116"/>
      <c r="AG12" s="2"/>
      <c r="AH12" s="2"/>
      <c r="AI12" s="2"/>
      <c r="AJ12" s="116"/>
      <c r="AK12" s="2"/>
      <c r="AL12" s="2"/>
      <c r="AM12" s="2"/>
      <c r="AN12" s="117"/>
      <c r="AO12" s="2"/>
      <c r="AP12" s="2"/>
      <c r="AQ12" s="2"/>
      <c r="AR12" s="117"/>
      <c r="AS12" s="2"/>
      <c r="AT12" s="2"/>
      <c r="AU12" s="6"/>
      <c r="AV12" s="116"/>
      <c r="AW12" s="2"/>
      <c r="AX12" s="2"/>
      <c r="AY12" s="2"/>
      <c r="AZ12" s="116"/>
      <c r="BA12" s="2"/>
      <c r="BB12" s="2"/>
      <c r="BC12" s="2"/>
      <c r="BD12" s="116"/>
      <c r="BE12" s="2"/>
      <c r="BF12" s="2"/>
      <c r="BG12" s="2"/>
      <c r="BH12" s="116"/>
      <c r="BI12" s="2"/>
      <c r="BJ12" s="2"/>
      <c r="BK12" s="2"/>
      <c r="BL12" s="116"/>
      <c r="BM12" s="2"/>
      <c r="BN12" s="2"/>
      <c r="BO12" s="2"/>
      <c r="BP12" s="72" t="s">
        <v>313</v>
      </c>
      <c r="BQ12" s="105"/>
      <c r="BR12" s="2"/>
      <c r="BS12" s="108" t="s">
        <v>314</v>
      </c>
      <c r="BT12" s="108"/>
      <c r="BU12" s="103"/>
      <c r="BV12" s="66"/>
      <c r="BW12" s="2"/>
    </row>
    <row r="13" ht="54" customHeight="1">
      <c r="F13" s="118"/>
      <c r="G13" s="118"/>
      <c r="H13" s="118"/>
    </row>
    <row r="14" ht="54" customHeight="1">
      <c r="F14" s="118"/>
      <c r="G14" s="118"/>
    </row>
    <row r="15" ht="14.25">
      <c r="F15" s="93"/>
    </row>
  </sheetData>
  <mergeCells count="97">
    <mergeCell ref="A1:D1"/>
    <mergeCell ref="E1:H1"/>
    <mergeCell ref="I1:K1"/>
    <mergeCell ref="L1:N1"/>
    <mergeCell ref="P1:S1"/>
    <mergeCell ref="T1:W1"/>
    <mergeCell ref="X1:AA1"/>
    <mergeCell ref="AB1:AE1"/>
    <mergeCell ref="AF1:AI1"/>
    <mergeCell ref="AJ1:AM1"/>
    <mergeCell ref="AN1:AQ1"/>
    <mergeCell ref="AR1:AU1"/>
    <mergeCell ref="AV1:AY1"/>
    <mergeCell ref="AZ1:BC1"/>
    <mergeCell ref="BD1:BG1"/>
    <mergeCell ref="BH1:BK1"/>
    <mergeCell ref="BL1:BO1"/>
    <mergeCell ref="BP1:BS1"/>
    <mergeCell ref="BT1:BW1"/>
    <mergeCell ref="C3:D3"/>
    <mergeCell ref="E3:F3"/>
    <mergeCell ref="G3:H3"/>
    <mergeCell ref="I3:J3"/>
    <mergeCell ref="L3:M3"/>
    <mergeCell ref="AU3:AY3"/>
    <mergeCell ref="BD3:BF3"/>
    <mergeCell ref="BU3:BV3"/>
    <mergeCell ref="C4:J4"/>
    <mergeCell ref="Z4:AA4"/>
    <mergeCell ref="AV4:AY4"/>
    <mergeCell ref="E5:F5"/>
    <mergeCell ref="G5:H5"/>
    <mergeCell ref="X5:Y5"/>
    <mergeCell ref="Z5:AA5"/>
    <mergeCell ref="AB5:AE5"/>
    <mergeCell ref="AF5:AI5"/>
    <mergeCell ref="AJ5:AN5"/>
    <mergeCell ref="AO5:AQ5"/>
    <mergeCell ref="BL5:BM5"/>
    <mergeCell ref="BT5:BU5"/>
    <mergeCell ref="G6:H6"/>
    <mergeCell ref="X6:AA6"/>
    <mergeCell ref="AB6:AD6"/>
    <mergeCell ref="AF6:AH6"/>
    <mergeCell ref="BE6:BG6"/>
    <mergeCell ref="BJ6:BN6"/>
    <mergeCell ref="BU6:BV6"/>
    <mergeCell ref="J7:K7"/>
    <mergeCell ref="M7:N7"/>
    <mergeCell ref="P7:S7"/>
    <mergeCell ref="AB7:AE7"/>
    <mergeCell ref="AF7:AI7"/>
    <mergeCell ref="AJ7:AM7"/>
    <mergeCell ref="AN7:AQ7"/>
    <mergeCell ref="AU7:AV7"/>
    <mergeCell ref="BR7:BS7"/>
    <mergeCell ref="D8:E8"/>
    <mergeCell ref="F8:H8"/>
    <mergeCell ref="BP8:BQ8"/>
    <mergeCell ref="BR8:BS8"/>
    <mergeCell ref="D9:E9"/>
    <mergeCell ref="AT9:AV9"/>
    <mergeCell ref="BP9:BQ9"/>
    <mergeCell ref="BR9:BT9"/>
    <mergeCell ref="K10:O10"/>
    <mergeCell ref="T10:W10"/>
    <mergeCell ref="X10:AA10"/>
    <mergeCell ref="AB10:AE10"/>
    <mergeCell ref="AF10:AI10"/>
    <mergeCell ref="AJ10:AM10"/>
    <mergeCell ref="AN10:AQ10"/>
    <mergeCell ref="AV10:AW10"/>
    <mergeCell ref="AZ10:BA10"/>
    <mergeCell ref="BD10:BE10"/>
    <mergeCell ref="BH10:BI10"/>
    <mergeCell ref="BL10:BM10"/>
    <mergeCell ref="BQ10:BS10"/>
    <mergeCell ref="K11:O11"/>
    <mergeCell ref="T11:W11"/>
    <mergeCell ref="X11:AA11"/>
    <mergeCell ref="AB11:AE11"/>
    <mergeCell ref="AF11:AI11"/>
    <mergeCell ref="AJ11:AM11"/>
    <mergeCell ref="AN11:AQ11"/>
    <mergeCell ref="AR11:AU11"/>
    <mergeCell ref="AV11:AY11"/>
    <mergeCell ref="AZ11:BC11"/>
    <mergeCell ref="BD11:BG11"/>
    <mergeCell ref="BH11:BK11"/>
    <mergeCell ref="BL11:BO11"/>
    <mergeCell ref="BP11:BQ11"/>
    <mergeCell ref="BR11:BS11"/>
    <mergeCell ref="F12:G12"/>
    <mergeCell ref="BS12:BT12"/>
    <mergeCell ref="BU12:BV12"/>
    <mergeCell ref="F13:H13"/>
    <mergeCell ref="F14:G14"/>
  </mergeCells>
  <printOptions headings="0" gridLines="0"/>
  <pageMargins left="0.70069444444444484" right="0.70069444444444484" top="0.75208333333333299" bottom="0.75208333333333299" header="0.51181102362204689" footer="0.51181102362204689"/>
  <pageSetup paperSize="9" scale="10" fitToWidth="1" fitToHeight="1" pageOrder="downThenOver" orientation="landscape" usePrinterDefaults="1" blackAndWhite="0" draft="0" cellComments="none" useFirstPageNumber="0" errors="displayed" horizontalDpi="300" verticalDpi="300" copies="1"/>
  <headerFooter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GridLines="1" showRowColHeaders="1" showZeros="1" showRuler="1" view="normal" zoomScale="100" workbookViewId="0">
      <selection activeCell="C4" activeCellId="0" sqref="C4"/>
    </sheetView>
  </sheetViews>
  <sheetFormatPr defaultColWidth="9.1484375" defaultRowHeight="14.25"/>
  <cols>
    <col customWidth="1" min="1" max="3" style="119" width="30.7109375"/>
    <col customWidth="1" min="4" max="8" style="1" width="30.7109375"/>
    <col customWidth="0" min="9" max="16384" style="1" width="9.1400000000000006"/>
  </cols>
  <sheetData>
    <row r="1" s="120" customFormat="1" ht="32.25" customHeight="1">
      <c r="A1" s="121" t="s">
        <v>315</v>
      </c>
      <c r="B1" s="121"/>
      <c r="C1" s="121"/>
      <c r="D1" s="121"/>
      <c r="E1" s="121"/>
      <c r="F1" s="121"/>
      <c r="G1" s="121"/>
      <c r="H1" s="121"/>
    </row>
    <row r="2" s="120" customFormat="1" ht="43.5" customHeight="1">
      <c r="A2" s="122" t="s">
        <v>316</v>
      </c>
      <c r="B2" s="122"/>
      <c r="C2" s="122"/>
      <c r="D2" s="122"/>
      <c r="E2" s="122"/>
      <c r="F2" s="122"/>
      <c r="G2" s="122"/>
      <c r="H2" s="122"/>
    </row>
    <row r="3" s="120" customFormat="1" ht="16.5">
      <c r="A3" s="123" t="s">
        <v>317</v>
      </c>
      <c r="B3" s="123" t="s">
        <v>318</v>
      </c>
      <c r="C3" s="123" t="s">
        <v>319</v>
      </c>
      <c r="D3" s="123" t="s">
        <v>320</v>
      </c>
      <c r="E3" s="123" t="s">
        <v>321</v>
      </c>
      <c r="F3" s="123" t="s">
        <v>322</v>
      </c>
      <c r="G3" s="123" t="s">
        <v>323</v>
      </c>
      <c r="H3" s="123" t="s">
        <v>324</v>
      </c>
    </row>
    <row r="4" s="124" customFormat="1" ht="105.75" customHeight="1">
      <c r="A4" s="125" t="str">
        <f>ПЛАН!BP4</f>
        <v xml:space="preserve">Направлен отчёт: затраты на ПО и меры поддержки ИТ проектов</v>
      </c>
      <c r="B4" s="125" t="str">
        <f>ПЛАН!BP10</f>
        <v xml:space="preserve">Проведена работа по обновлению инструкции по применению электронных документов ОКУД 0510521 «Заявка-обоснование закупки товаров, работ, услуг малого объема через подотчетное лицо (ф. 0510521)</v>
      </c>
      <c r="C4" s="126" t="e">
        <f>#REF!</f>
        <v>#REF!</v>
      </c>
      <c r="D4" s="127" t="e">
        <f>#REF!</f>
        <v>#REF!</v>
      </c>
      <c r="E4" s="127" t="str">
        <f>ПЛАН!BP8</f>
        <v xml:space="preserve">Инвентаризированы оферты подключения к ГИС "Смета ЯНАО" государственных учреждений в ЯНАО: оферт в наличии 48, ожидаем - 8; нет оферт - 25 (Здрав), 9 (Ликвидировано учреждений). Всего изначально - 90</v>
      </c>
      <c r="F4" s="127"/>
      <c r="G4" s="127"/>
      <c r="H4" s="128" t="str">
        <f>ПЛАН!BQ5</f>
        <v xml:space="preserve">Проведена работа по обновлению схемы топологии ЯНАО: уточнялись каналы взаимодействия, маршруты прохождения данных, состав систем и сервисов. Результатом стала обновлённая актуализированная схема с учетом текущей архитектуры и взаимодействующих контуров.</v>
      </c>
      <c r="I4" s="124"/>
    </row>
    <row r="5" s="124" customFormat="1" ht="53.25" customHeight="1">
      <c r="A5" s="128" t="str">
        <f>ПЛАН!BP5</f>
        <v xml:space="preserve">Направлена заявка на промышленную ЕСИА; совместно с отделом информационной безопасности проведена работа по взаимодействию с НИИ "Восход" и Ростелеком</v>
      </c>
      <c r="B5" s="128" t="str">
        <f>ПЛАН!BP12</f>
        <v xml:space="preserve">Подготовлено и согласовано ТЗ по мероприятию: Оказание услуг по настройке в ГИС «Смета ЯНАО» функционала в части учета, начисления и расчетов по плате, которую родители (законные представители) ежемесячно платят дошкольной образовательной организации за присмотр и уход за ребёнком (далее – родительская плата), компенсационных выплат по родительской плате, а также учет расчетов по платным услугам образовательных учреждений</v>
      </c>
      <c r="C5" s="129"/>
      <c r="D5" s="127"/>
      <c r="E5" s="127" t="str">
        <f>ПЛАН!BP9</f>
        <v xml:space="preserve">Проведено обучение администраторов Сметы на тему настройки платёжных поручений в базах данных пользователей всех муниципальных учреждений в ЯНАО</v>
      </c>
      <c r="F5" s="127"/>
      <c r="G5" s="130"/>
      <c r="H5" s="128"/>
      <c r="I5" s="124"/>
    </row>
    <row r="6" s="124" customFormat="1" ht="60" customHeight="1">
      <c r="A6" s="128"/>
      <c r="B6" s="128"/>
      <c r="C6" s="129"/>
      <c r="D6" s="131" t="e">
        <f>#REF!</f>
        <v>#REF!</v>
      </c>
      <c r="E6" s="127" t="str">
        <f>ПЛАН!BR8</f>
        <v xml:space="preserve">Проведено обучения (3 дня) для бухгалтеров муниципальных учреждений в ЯНАО по направлению: создание, подписание и закрытие платёжных поручений в ГИС "Смета ЯНАО"</v>
      </c>
      <c r="F6" s="127"/>
      <c r="G6" s="130"/>
      <c r="H6" s="128" t="str">
        <f>ПЛАН!BR5</f>
        <v xml:space="preserve">Проведена работа по актуализации таблиц Excel с выборками органов и учреждений по направлению ЕСКУ. Проведена сверка списков, выявлены отсутствующие, новые и дублирующиеся записи. В результате был подготовлен максимально актуальный список учреждений для дальнейшей работы и сопоставления данных</v>
      </c>
      <c r="I6" s="124"/>
    </row>
    <row r="7" s="124" customFormat="1" ht="69" customHeight="1">
      <c r="A7" s="126" t="str">
        <f>ПЛАН!BP6</f>
        <v xml:space="preserve">Направлен и согласован предварительный проект плана информатизации 2027</v>
      </c>
      <c r="B7" s="128"/>
      <c r="C7" s="129"/>
      <c r="D7" s="129"/>
      <c r="E7" s="127" t="str">
        <f>ПЛАН!BR9</f>
        <v xml:space="preserve">Выполнен срез используемого функционала платёжных поручений в ГИС "Смета ЯНАО" из числа, прошедших обучение, с фокусом: платёжные поручения, прямые выплаты</v>
      </c>
      <c r="F7" s="127"/>
      <c r="G7" s="127"/>
      <c r="H7" s="128"/>
      <c r="I7" s="124"/>
    </row>
    <row r="8" s="124" customFormat="1" ht="84.75" customHeight="1">
      <c r="A8" s="128" t="str">
        <f>ПЛАН!BP11</f>
        <v xml:space="preserve">Сформулированы требования и разработан отчёт использования функционала ГИС "Смета ЯНАО" в части работы с первичными платёжными документами. Отчёт отражает точки роста и акцентирует внимание на базах данных, в которые платёжные первичные документы импортируются из Исполненеия бюджета</v>
      </c>
      <c r="B8" s="128"/>
      <c r="C8" s="129"/>
      <c r="D8" s="129"/>
      <c r="E8" s="131" t="str">
        <f>ПЛАН!BR7</f>
        <v xml:space="preserve">Проведена работа по сбору актов должников по итеграции ГИС "Смета ЯНАО" и ГИС "ЕСКУ ЯНАО", собрано - Х ед</v>
      </c>
      <c r="F8" s="132" t="str">
        <f>ПЛАН!BR11</f>
        <v xml:space="preserve">Проведена актуализация доступов в ГБУ «Дирекция ООПТ ЯНАО», ГКУ «Служба по охране биоресурсов ЯНАО», ГУ «Леса Ямала», ГАУ «Центр изучения Арктики»</v>
      </c>
      <c r="G8" s="128" t="str">
        <f>'Количественная аналитика'!B41</f>
        <v xml:space="preserve">Предоставление доступа сотрудника ОУ - 3 приказа;
Устранение проблемы с созданием МЧД;
Работа по внедрению подписания ф.0510448 и 0504805 между базами и устранение ошибок;</v>
      </c>
      <c r="H8" s="128"/>
      <c r="I8" s="124"/>
    </row>
    <row r="9" s="124" customFormat="1" ht="186.75" customHeight="1">
      <c r="A9" s="128"/>
      <c r="B9" s="126" t="str">
        <f>ПЛАН!BP3</f>
        <v xml:space="preserve">Актуализировано ТЗ по мероприятию: Оказание услуг по настройке ГИС «Смета ЯНАО» в части электронного взаимодействия (интеграции) с внешней информационной системой ГИС «Имущество ЯНАО»</v>
      </c>
      <c r="C9" s="129"/>
      <c r="D9" s="129"/>
      <c r="E9" s="129"/>
      <c r="F9" s="133" t="str">
        <f>'Количественная аналитика'!B39</f>
        <v xml:space="preserve">Сбор статистики по муниципалитетам - использования интеграции по направлениям: МИР, ПП, ЭДО, СФР, Имущество и т.п.</v>
      </c>
      <c r="G9" s="128"/>
      <c r="H9" s="126" t="str">
        <f>ПЛАН!BR6</f>
        <v xml:space="preserve">Выполнена работа по развитию автоматизации бизнес-процесса межбюджетных трансфертов: Подготовлена BPMN-схема "как есть сейчас", а также описан бизнес-процесс в деталях «как должно быть» на стороне ГИС "Смета ЯНАО". Подготовлены функциональные требования</v>
      </c>
      <c r="I9" s="124"/>
    </row>
    <row r="10" s="124" customFormat="1" ht="25.5">
      <c r="A10" s="129" t="str">
        <f>ПЛАН!BQ3</f>
        <v xml:space="preserve">Направлен отчёт: ФГИСКИ</v>
      </c>
      <c r="B10" s="132">
        <f>'Количественная аналитика'!K38</f>
        <v>0</v>
      </c>
      <c r="C10" s="129"/>
      <c r="D10" s="129"/>
      <c r="E10" s="129"/>
      <c r="F10" s="129"/>
      <c r="G10" s="129"/>
      <c r="H10" s="129"/>
      <c r="I10" s="124"/>
    </row>
    <row r="11" s="124" customFormat="1" ht="409.5">
      <c r="A11" s="132" t="str">
        <f>ПЛАН!BQ6</f>
        <v xml:space="preserve">Выполнена работа по развитию автоматизации бизнес-процесса межбюджетных трансфертов: Проведены переговоры, исследования, согласование новой схемы взаимодействия, найден консенсус, который не позволит вносить изменения в документ-основание (заявку на МБТ) в случае создания расчёта по нему. Также, подготовлена система статусов для Исполнения бюджета и обновлена BPMN-схема "как должно быть"</v>
      </c>
      <c r="B11" s="126" t="str">
        <f>'Количественная аналитика'!B38</f>
        <v xml:space="preserve">1. Проводилась подготовка ТЗ на выполнение работ по интеграции с РСЭД Тезис
2. Организация и взаимодействие с участниками и техподдержкой по настройке и тестировании  кроссподписания.
3. Проверка мероприятий предварительных ПИ на 2027 год среди МО и департамента здравоохранения.  
4. Проводилась работа по администрированию, настройке прав, технической поддержке и решения иных вопросов на период отсутствия Чечеткина М.И., Обмоловой В.В. Рогановой А.И.
5. Подготовлены критерии для отчета по отслеживанию динамики авторизации через ЕСИА, сформулированы требования для отчета по командировкам и отпускам (заявки), решены несколько вопросов по ошибкам при импорте данных УКТ-Услуга, направлен отзыв заявки на регистрацию программы для ЭВМ (ИИ) чтобы повторно не платить пошлину.
6. Направлены ежемесячные отчеты по аудиту ПО и импортзамещению в ДИТиС (через депфин)</v>
      </c>
      <c r="C11" s="129"/>
      <c r="D11" s="129"/>
      <c r="E11" s="129"/>
      <c r="F11" s="129"/>
      <c r="G11" s="129"/>
      <c r="H11" s="129"/>
      <c r="I11" s="124"/>
    </row>
    <row r="12" s="124" customFormat="1" ht="63.75">
      <c r="A12" s="132" t="str">
        <f>ПЛАН!BQ7</f>
        <v xml:space="preserve">Подготовлено ТЗ по интеграции Смета+Тезис</v>
      </c>
      <c r="B12" s="126" t="s">
        <v>325</v>
      </c>
      <c r="C12" s="129"/>
      <c r="D12" s="129"/>
      <c r="E12" s="129"/>
      <c r="F12" s="129"/>
      <c r="G12" s="129"/>
      <c r="H12" s="129"/>
      <c r="I12" s="124"/>
    </row>
    <row r="13" s="124" customFormat="1" ht="14.25">
      <c r="A13" s="130" t="str">
        <f>ПЛАН!BQ10</f>
        <v xml:space="preserve">Подготовлено и согласовано ТЗ: Интеграция АПК</v>
      </c>
      <c r="B13" s="130"/>
      <c r="C13" s="129"/>
      <c r="D13" s="129"/>
      <c r="E13" s="129"/>
      <c r="F13" s="129"/>
      <c r="G13" s="129"/>
      <c r="H13" s="129"/>
      <c r="I13" s="124"/>
    </row>
    <row r="14" s="124" customFormat="1" ht="89.25">
      <c r="A14" s="132" t="str">
        <f>ПЛАН!BS3</f>
        <v xml:space="preserve">Направленная ранее заявка в Федеральный институт промышленной собственности успешно отработана; проводится работа по корректировке(совместно А.А. Черновым)</v>
      </c>
      <c r="B14" s="126" t="s">
        <v>326</v>
      </c>
      <c r="C14" s="129"/>
      <c r="D14" s="129"/>
      <c r="E14" s="129"/>
      <c r="F14" s="129"/>
      <c r="G14" s="129"/>
      <c r="H14" s="129"/>
      <c r="I14" s="124"/>
    </row>
    <row r="15" s="124" customFormat="1" ht="76.5">
      <c r="A15" s="132" t="str">
        <f>ПЛАН!BS4</f>
        <v xml:space="preserve">Выполнены тестовые испытия промышленной ЕСИА, модифицирован код API-серверов, добавлены сертификаты удостостоверяющих центров</v>
      </c>
      <c r="B15" s="126" t="s">
        <v>327</v>
      </c>
      <c r="C15" s="129"/>
      <c r="D15" s="129"/>
      <c r="E15" s="129"/>
      <c r="F15" s="129"/>
      <c r="G15" s="129"/>
      <c r="H15" s="129"/>
      <c r="I15" s="124"/>
    </row>
    <row r="16" s="124" customFormat="1" ht="153">
      <c r="A16" s="132" t="str">
        <f>ПЛАН!BS6</f>
        <v xml:space="preserve">Включен механизм журналирования входящих запросов для тела запроса с полезной нагрузкой - пользовательскими данными в рамках интеграции с АИС Жилфонд. Это позволит быстро обращаться к журналам отправленных в Смету данны ретроспективно для разрешения спорных ситуаций в рамках интеграции</v>
      </c>
      <c r="B16" s="129"/>
      <c r="C16" s="129"/>
      <c r="D16" s="129"/>
      <c r="E16" s="129"/>
      <c r="F16" s="129"/>
      <c r="G16" s="129"/>
      <c r="H16" s="129"/>
      <c r="I16" s="124"/>
    </row>
    <row r="17" s="124" customFormat="1" ht="127.5">
      <c r="A17" s="132" t="e">
        <f>#REF!</f>
        <v>#REF!</v>
      </c>
      <c r="B17" s="129"/>
      <c r="C17" s="129"/>
      <c r="D17" s="129"/>
      <c r="E17" s="129"/>
      <c r="F17" s="129"/>
      <c r="G17" s="129"/>
      <c r="H17" s="129"/>
      <c r="I17" s="124"/>
    </row>
    <row r="18" s="124" customFormat="1" ht="38.25">
      <c r="A18" s="132" t="e">
        <f>#REF!</f>
        <v>#REF!</v>
      </c>
      <c r="B18" s="129"/>
      <c r="C18" s="129"/>
      <c r="D18" s="129"/>
      <c r="E18" s="129"/>
      <c r="F18" s="129"/>
      <c r="G18" s="129"/>
      <c r="H18" s="129"/>
      <c r="I18" s="124"/>
    </row>
    <row r="19" s="124" customFormat="1" ht="78.75" customHeight="1">
      <c r="A19" s="134" t="str">
        <f>ПЛАН!BS5</f>
        <v xml:space="preserve">Проведено зондирование вопроса подключения уведомлений в чат-бот "Бухагалтер Света" (Среда) от функционала ЭДО "Отчётность" (Астрал). Выявлены ключевые точки роста, оценена рентабельность мероприятия (Не рентабельно)</v>
      </c>
      <c r="B19" s="135"/>
      <c r="C19" s="135"/>
      <c r="D19" s="135"/>
      <c r="E19" s="135"/>
      <c r="F19" s="135"/>
      <c r="G19" s="135"/>
      <c r="H19" s="135"/>
      <c r="I19" s="124"/>
    </row>
    <row r="20" s="3" customFormat="1" ht="14.25">
      <c r="A20" s="136"/>
      <c r="B20" s="136"/>
      <c r="C20" s="136"/>
      <c r="D20" s="136"/>
      <c r="E20" s="136"/>
      <c r="F20" s="136"/>
      <c r="G20" s="136"/>
      <c r="H20" s="136"/>
      <c r="I20" s="3"/>
    </row>
    <row r="21" s="3" customFormat="1" ht="14.25">
      <c r="A21" s="136"/>
      <c r="B21" s="136"/>
      <c r="C21" s="136"/>
      <c r="D21" s="136"/>
      <c r="E21" s="136"/>
      <c r="F21" s="136"/>
      <c r="G21" s="136"/>
      <c r="H21" s="136"/>
      <c r="I21" s="3"/>
    </row>
    <row r="22" s="3" customFormat="1" ht="14.25">
      <c r="A22" s="136"/>
      <c r="B22" s="136"/>
      <c r="C22" s="136"/>
      <c r="D22" s="136"/>
      <c r="E22" s="136"/>
      <c r="F22" s="136"/>
      <c r="G22" s="136"/>
      <c r="H22" s="136"/>
      <c r="I22" s="3"/>
    </row>
    <row r="23" s="3" customFormat="1" ht="14.25">
      <c r="A23" s="136"/>
      <c r="B23" s="136"/>
      <c r="C23" s="136"/>
      <c r="D23" s="136"/>
      <c r="E23" s="136"/>
      <c r="F23" s="136"/>
      <c r="G23" s="136"/>
      <c r="H23" s="136"/>
    </row>
    <row r="24" s="3" customFormat="1" ht="14.25">
      <c r="A24" s="136"/>
      <c r="B24" s="136"/>
      <c r="C24" s="136"/>
      <c r="D24" s="136"/>
      <c r="E24" s="136"/>
      <c r="F24" s="136"/>
      <c r="G24" s="136"/>
      <c r="H24" s="136"/>
    </row>
    <row r="25" s="3" customFormat="1" ht="14.25">
      <c r="A25" s="136"/>
      <c r="B25" s="136"/>
      <c r="C25" s="136"/>
      <c r="D25" s="136"/>
      <c r="E25" s="136"/>
      <c r="F25" s="136"/>
      <c r="G25" s="136"/>
      <c r="H25" s="136"/>
    </row>
    <row r="26" s="3" customFormat="1" ht="14.25">
      <c r="H26" s="3"/>
    </row>
    <row r="27" s="3" customFormat="1" ht="14.25">
      <c r="H27" s="3"/>
    </row>
    <row r="28" s="3" customFormat="1" ht="14.25"/>
    <row r="29" s="3" customFormat="1" ht="14.25"/>
    <row r="30" s="3" customFormat="1" ht="14.25"/>
    <row r="31" s="3" customFormat="1" ht="14.25"/>
    <row r="32" s="3" customFormat="1" ht="14.25"/>
    <row r="33" s="3" customFormat="1" ht="14.25"/>
    <row r="34" s="3" customFormat="1" ht="14.25"/>
    <row r="35" s="3" customFormat="1" ht="14.25"/>
    <row r="36" s="3" customFormat="1" ht="14.25"/>
    <row r="37" s="3" customFormat="1" ht="14.25"/>
    <row r="38" s="3" customFormat="1" ht="14.25"/>
    <row r="39" s="3" customFormat="1" ht="14.25"/>
    <row r="40" s="3" customFormat="1" ht="14.25"/>
    <row r="41" s="3" customFormat="1" ht="14.25"/>
    <row r="42" s="3" customFormat="1" ht="14.25"/>
    <row r="43" s="3" customFormat="1" ht="14.25"/>
    <row r="44" s="3" customFormat="1" ht="14.25"/>
    <row r="45" s="3" customFormat="1" ht="14.25"/>
    <row r="46" s="3" customFormat="1" ht="14.25"/>
    <row r="47" s="3" customFormat="1" ht="14.25"/>
    <row r="48" s="3" customFormat="1" ht="14.25"/>
    <row r="49" s="3" customFormat="1" ht="14.25"/>
    <row r="50" s="3" customFormat="1" ht="14.25"/>
    <row r="51" s="3" customFormat="1" ht="14.25"/>
    <row r="52" s="3" customFormat="1" ht="14.25"/>
  </sheetData>
  <mergeCells count="15">
    <mergeCell ref="A1:G1"/>
    <mergeCell ref="A2:G2"/>
    <mergeCell ref="D4:D5"/>
    <mergeCell ref="E4:G4"/>
    <mergeCell ref="H4:H5"/>
    <mergeCell ref="A5:A6"/>
    <mergeCell ref="B5:B8"/>
    <mergeCell ref="E5:F5"/>
    <mergeCell ref="G5:G6"/>
    <mergeCell ref="E6:F6"/>
    <mergeCell ref="H6:H8"/>
    <mergeCell ref="E7:G7"/>
    <mergeCell ref="A8:A9"/>
    <mergeCell ref="G8:G9"/>
    <mergeCell ref="A13:B13"/>
  </mergeCells>
  <printOptions headings="0" gridLines="0"/>
  <pageMargins left="0.70078740157480324" right="0.70078740157480324" top="0.75196850393700776" bottom="0.75196850393700776" header="0.51181102362204689" footer="0.51181102362204689"/>
  <pageSetup paperSize="9" scale="54" firstPageNumber="1" fitToWidth="1" fitToHeight="0" pageOrder="downThenOver" orientation="landscape" usePrinterDefaults="1" blackAndWhite="0" draft="0" cellComments="none" useFirstPageNumber="1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GridLines="1" showRowColHeaders="1" showZeros="1" showRuler="1" view="normal" topLeftCell="A31" zoomScale="100" workbookViewId="0">
      <selection activeCell="C18" activeCellId="0" sqref="C18"/>
    </sheetView>
  </sheetViews>
  <sheetFormatPr defaultColWidth="9.1484375" defaultRowHeight="14.25"/>
  <cols>
    <col customWidth="1" min="1" max="1" style="137" width="15.710000000000001"/>
    <col customWidth="1" min="2" max="2" style="138" width="34.289999999999999"/>
    <col customWidth="1" min="3" max="7" style="138" width="8.7109375"/>
    <col customWidth="1" min="8" max="11" style="137" width="8.7109375"/>
    <col customWidth="1" min="12" max="12" style="138" width="34.289999999999999"/>
    <col customWidth="1" min="13" max="13" style="138" width="24.710000000000001"/>
    <col customWidth="0" min="14" max="15" style="137" width="9.1400000000000006"/>
    <col customWidth="1" min="16" max="16" style="137" width="23.289999999999999"/>
    <col customWidth="0" min="17" max="16384" style="137" width="9.1400000000000006"/>
  </cols>
  <sheetData>
    <row r="1" ht="22.5" customHeight="1">
      <c r="A1" s="139" t="s">
        <v>328</v>
      </c>
      <c r="B1" s="139"/>
      <c r="C1" s="139"/>
      <c r="D1" s="139"/>
      <c r="E1" s="139"/>
      <c r="F1" s="139"/>
      <c r="G1" s="139"/>
      <c r="H1" s="139"/>
      <c r="I1" s="139"/>
      <c r="J1" s="139"/>
      <c r="K1" s="140"/>
      <c r="L1" s="141"/>
      <c r="M1" s="141"/>
    </row>
    <row r="2" ht="30" customHeight="1">
      <c r="A2" s="142" t="s">
        <v>329</v>
      </c>
      <c r="B2" s="143" t="s">
        <v>330</v>
      </c>
      <c r="C2" s="144" t="s">
        <v>331</v>
      </c>
      <c r="D2" s="144" t="s">
        <v>332</v>
      </c>
      <c r="E2" s="144" t="s">
        <v>333</v>
      </c>
      <c r="F2" s="144" t="s">
        <v>334</v>
      </c>
      <c r="G2" s="144" t="s">
        <v>335</v>
      </c>
      <c r="H2" s="144" t="s">
        <v>336</v>
      </c>
      <c r="I2" s="144" t="s">
        <v>337</v>
      </c>
      <c r="J2" s="144" t="s">
        <v>338</v>
      </c>
      <c r="K2" s="145" t="s">
        <v>339</v>
      </c>
      <c r="L2" s="146"/>
      <c r="M2" s="2"/>
    </row>
    <row r="3" ht="14.25">
      <c r="A3" s="147" t="s">
        <v>340</v>
      </c>
      <c r="B3" s="148">
        <f t="shared" ref="B3:B9" si="0">SUM(C3:G3)</f>
        <v>2336</v>
      </c>
      <c r="C3" s="142">
        <v>342</v>
      </c>
      <c r="D3" s="142">
        <v>1320</v>
      </c>
      <c r="E3" s="142">
        <v>165</v>
      </c>
      <c r="F3" s="142">
        <v>374</v>
      </c>
      <c r="G3" s="142">
        <v>135</v>
      </c>
      <c r="H3" s="149"/>
      <c r="I3" s="149"/>
      <c r="J3" s="149"/>
      <c r="K3" s="150"/>
      <c r="M3" s="151"/>
    </row>
    <row r="4" ht="14.25">
      <c r="A4" s="147" t="s">
        <v>341</v>
      </c>
      <c r="B4" s="148">
        <f t="shared" si="0"/>
        <v>3616</v>
      </c>
      <c r="C4" s="142">
        <v>962</v>
      </c>
      <c r="D4" s="142">
        <v>1288</v>
      </c>
      <c r="E4" s="142">
        <v>775</v>
      </c>
      <c r="F4" s="142">
        <v>302</v>
      </c>
      <c r="G4" s="142">
        <v>289</v>
      </c>
      <c r="H4" s="149"/>
      <c r="I4" s="149"/>
      <c r="J4" s="149"/>
      <c r="K4" s="150"/>
      <c r="M4" s="151"/>
    </row>
    <row r="5" ht="14.25">
      <c r="A5" s="147" t="s">
        <v>342</v>
      </c>
      <c r="B5" s="148">
        <f t="shared" si="0"/>
        <v>1771</v>
      </c>
      <c r="C5" s="142">
        <v>406</v>
      </c>
      <c r="D5" s="142">
        <v>257</v>
      </c>
      <c r="E5" s="142">
        <v>630</v>
      </c>
      <c r="F5" s="142">
        <v>257</v>
      </c>
      <c r="G5" s="142">
        <v>221</v>
      </c>
      <c r="H5" s="149"/>
      <c r="I5" s="149"/>
      <c r="J5" s="149"/>
      <c r="K5" s="150"/>
      <c r="M5" s="151"/>
    </row>
    <row r="6" ht="14.25">
      <c r="A6" s="147" t="s">
        <v>343</v>
      </c>
      <c r="B6" s="148">
        <f t="shared" si="0"/>
        <v>2491</v>
      </c>
      <c r="C6" s="142">
        <v>457</v>
      </c>
      <c r="D6" s="142">
        <v>666</v>
      </c>
      <c r="E6" s="142">
        <v>836</v>
      </c>
      <c r="F6" s="142">
        <v>387</v>
      </c>
      <c r="G6" s="142">
        <v>145</v>
      </c>
      <c r="H6" s="149"/>
      <c r="I6" s="149"/>
      <c r="J6" s="149"/>
      <c r="K6" s="150"/>
      <c r="M6" s="151"/>
    </row>
    <row r="7" ht="14.25">
      <c r="A7" s="147" t="s">
        <v>344</v>
      </c>
      <c r="B7" s="148">
        <f t="shared" si="0"/>
        <v>2894</v>
      </c>
      <c r="C7" s="142">
        <v>630</v>
      </c>
      <c r="D7" s="142">
        <v>910</v>
      </c>
      <c r="E7" s="142">
        <v>717</v>
      </c>
      <c r="F7" s="142">
        <v>411</v>
      </c>
      <c r="G7" s="142">
        <v>226</v>
      </c>
      <c r="H7" s="149"/>
      <c r="I7" s="149"/>
      <c r="J7" s="149"/>
      <c r="K7" s="150"/>
      <c r="M7" s="151"/>
    </row>
    <row r="8" ht="14.25">
      <c r="A8" s="147" t="s">
        <v>345</v>
      </c>
      <c r="B8" s="148">
        <f t="shared" si="0"/>
        <v>3277</v>
      </c>
      <c r="C8" s="148">
        <v>515</v>
      </c>
      <c r="D8" s="148">
        <v>791</v>
      </c>
      <c r="E8" s="148">
        <v>1024</v>
      </c>
      <c r="F8" s="148">
        <v>681</v>
      </c>
      <c r="G8" s="148">
        <v>266</v>
      </c>
      <c r="H8" s="152"/>
      <c r="I8" s="152"/>
      <c r="J8" s="152"/>
      <c r="K8" s="153"/>
    </row>
    <row r="9" ht="14.25">
      <c r="A9" s="147" t="s">
        <v>346</v>
      </c>
      <c r="B9" s="148">
        <f t="shared" si="0"/>
        <v>2081</v>
      </c>
      <c r="C9" s="148">
        <v>425</v>
      </c>
      <c r="D9" s="148">
        <v>390</v>
      </c>
      <c r="E9" s="148">
        <v>694</v>
      </c>
      <c r="F9" s="148">
        <v>397</v>
      </c>
      <c r="G9" s="148">
        <v>175</v>
      </c>
      <c r="H9" s="152"/>
      <c r="I9" s="152"/>
      <c r="J9" s="152"/>
      <c r="K9" s="153"/>
    </row>
    <row r="10" ht="14.25">
      <c r="A10" s="147" t="s">
        <v>347</v>
      </c>
      <c r="B10" s="148">
        <f>SUM(C10:G10)</f>
        <v>2040</v>
      </c>
      <c r="C10" s="148">
        <f>320*0.8</f>
        <v>256</v>
      </c>
      <c r="D10" s="148">
        <f>661*0.8</f>
        <v>528.80000000000007</v>
      </c>
      <c r="E10" s="148">
        <f>739*0.8</f>
        <v>591.20000000000005</v>
      </c>
      <c r="F10" s="148">
        <f>509*0.8</f>
        <v>407.20000000000005</v>
      </c>
      <c r="G10" s="148">
        <f>321*0.8</f>
        <v>256.80000000000001</v>
      </c>
      <c r="H10" s="152"/>
      <c r="I10" s="152"/>
      <c r="J10" s="152"/>
      <c r="K10" s="153"/>
    </row>
    <row r="11" ht="14.25">
      <c r="A11" s="147" t="s">
        <v>348</v>
      </c>
      <c r="B11" s="148">
        <v>2530</v>
      </c>
      <c r="C11" s="148">
        <v>752</v>
      </c>
      <c r="D11" s="148">
        <f>221*0.8</f>
        <v>176.80000000000001</v>
      </c>
      <c r="E11" s="148">
        <f>1321*0.8</f>
        <v>1056.8</v>
      </c>
      <c r="F11" s="148">
        <f>147*0.8</f>
        <v>117.60000000000001</v>
      </c>
      <c r="G11" s="148">
        <f>89*0.8</f>
        <v>71.200000000000003</v>
      </c>
      <c r="H11" s="152"/>
      <c r="I11" s="152"/>
      <c r="J11" s="152"/>
      <c r="K11" s="153"/>
    </row>
    <row r="12" ht="14.25">
      <c r="A12" s="147" t="s">
        <v>349</v>
      </c>
      <c r="B12" s="148">
        <v>1803</v>
      </c>
      <c r="C12" s="148">
        <f>138*0.8</f>
        <v>110.40000000000001</v>
      </c>
      <c r="D12" s="148">
        <f>672*0.8</f>
        <v>537.60000000000002</v>
      </c>
      <c r="E12" s="148">
        <f>849*0.8</f>
        <v>679.20000000000005</v>
      </c>
      <c r="F12" s="148">
        <v>0</v>
      </c>
      <c r="G12" s="148">
        <f>144*0.8</f>
        <v>115.2</v>
      </c>
      <c r="H12" s="152"/>
      <c r="I12" s="152"/>
      <c r="J12" s="152"/>
      <c r="K12" s="153"/>
    </row>
    <row r="13" ht="14.25">
      <c r="A13" s="147" t="s">
        <v>350</v>
      </c>
      <c r="B13" s="148">
        <v>1863</v>
      </c>
      <c r="C13" s="148">
        <v>417</v>
      </c>
      <c r="D13" s="148">
        <v>1334</v>
      </c>
      <c r="E13" s="148">
        <v>130</v>
      </c>
      <c r="F13" s="148">
        <v>636</v>
      </c>
      <c r="G13" s="148">
        <v>145</v>
      </c>
      <c r="H13" s="152"/>
      <c r="I13" s="152"/>
      <c r="J13" s="152"/>
      <c r="K13" s="153"/>
    </row>
    <row r="14" ht="14.25">
      <c r="A14" s="147" t="s">
        <v>351</v>
      </c>
      <c r="B14" s="148">
        <f t="shared" ref="B14:B16" si="1">SUM(C14:G14)</f>
        <v>2049</v>
      </c>
      <c r="C14" s="148">
        <v>519</v>
      </c>
      <c r="D14" s="148">
        <v>795</v>
      </c>
      <c r="E14" s="148">
        <v>0</v>
      </c>
      <c r="F14" s="148">
        <v>525</v>
      </c>
      <c r="G14" s="148">
        <v>210</v>
      </c>
      <c r="H14" s="152"/>
      <c r="I14" s="152"/>
      <c r="J14" s="152"/>
      <c r="K14" s="153"/>
    </row>
    <row r="15" ht="14.25">
      <c r="A15" s="147" t="s">
        <v>352</v>
      </c>
      <c r="B15" s="148">
        <f t="shared" si="1"/>
        <v>2043</v>
      </c>
      <c r="C15" s="148">
        <v>495</v>
      </c>
      <c r="D15" s="148">
        <v>396</v>
      </c>
      <c r="E15" s="148">
        <v>617</v>
      </c>
      <c r="F15" s="148">
        <v>359</v>
      </c>
      <c r="G15" s="148">
        <v>176</v>
      </c>
      <c r="H15" s="152"/>
      <c r="I15" s="152"/>
      <c r="J15" s="152"/>
      <c r="K15" s="153"/>
    </row>
    <row r="16" ht="14.25">
      <c r="A16" s="147" t="s">
        <v>353</v>
      </c>
      <c r="B16" s="148">
        <f t="shared" si="1"/>
        <v>2649</v>
      </c>
      <c r="C16" s="148">
        <v>583</v>
      </c>
      <c r="D16" s="148">
        <v>541</v>
      </c>
      <c r="E16" s="148">
        <v>437</v>
      </c>
      <c r="F16" s="148">
        <v>821</v>
      </c>
      <c r="G16" s="148">
        <v>267</v>
      </c>
      <c r="H16" s="152"/>
      <c r="I16" s="152"/>
      <c r="J16" s="152"/>
      <c r="K16" s="153"/>
    </row>
    <row r="17" ht="14.25">
      <c r="A17" s="147" t="s">
        <v>354</v>
      </c>
      <c r="B17" s="148">
        <f t="shared" ref="B17:B19" si="2">SUM(C17:I17)</f>
        <v>1716</v>
      </c>
      <c r="C17" s="148">
        <v>190</v>
      </c>
      <c r="D17" s="148">
        <v>299</v>
      </c>
      <c r="E17" s="148">
        <v>559</v>
      </c>
      <c r="F17" s="148">
        <v>423</v>
      </c>
      <c r="G17" s="148">
        <v>140</v>
      </c>
      <c r="H17" s="148">
        <v>89</v>
      </c>
      <c r="I17" s="148">
        <v>16</v>
      </c>
      <c r="J17" s="152"/>
      <c r="K17" s="153"/>
    </row>
    <row r="18" ht="14.25">
      <c r="A18" s="147" t="s">
        <v>355</v>
      </c>
      <c r="B18" s="148">
        <f t="shared" si="2"/>
        <v>2037</v>
      </c>
      <c r="C18" s="148">
        <v>252</v>
      </c>
      <c r="D18" s="148">
        <v>260</v>
      </c>
      <c r="E18" s="148">
        <v>419</v>
      </c>
      <c r="F18" s="148">
        <v>377</v>
      </c>
      <c r="G18" s="148">
        <v>252</v>
      </c>
      <c r="H18" s="148">
        <v>418</v>
      </c>
      <c r="I18" s="148">
        <v>59</v>
      </c>
      <c r="J18" s="152"/>
      <c r="K18" s="153"/>
    </row>
    <row r="19" ht="14.25">
      <c r="A19" s="147" t="s">
        <v>356</v>
      </c>
      <c r="B19" s="148">
        <f t="shared" si="2"/>
        <v>2966</v>
      </c>
      <c r="C19" s="148">
        <v>293</v>
      </c>
      <c r="D19" s="148">
        <v>612</v>
      </c>
      <c r="E19" s="148">
        <v>708</v>
      </c>
      <c r="F19" s="148">
        <v>687</v>
      </c>
      <c r="G19" s="148">
        <v>355</v>
      </c>
      <c r="H19" s="148">
        <v>195</v>
      </c>
      <c r="I19" s="148">
        <v>116</v>
      </c>
      <c r="J19" s="152"/>
      <c r="K19" s="153"/>
    </row>
    <row r="20" ht="14.25">
      <c r="A20" s="147" t="s">
        <v>357</v>
      </c>
      <c r="B20" s="148">
        <f t="shared" ref="B20:B35" si="3">SUM(C20:K20)</f>
        <v>3100</v>
      </c>
      <c r="C20" s="148">
        <v>608</v>
      </c>
      <c r="D20" s="148">
        <v>270</v>
      </c>
      <c r="E20" s="148">
        <v>832</v>
      </c>
      <c r="F20" s="148">
        <v>817</v>
      </c>
      <c r="G20" s="148">
        <v>214</v>
      </c>
      <c r="H20" s="148">
        <v>43</v>
      </c>
      <c r="I20" s="148">
        <v>205</v>
      </c>
      <c r="J20" s="152"/>
      <c r="K20" s="154">
        <v>111</v>
      </c>
    </row>
    <row r="21" ht="14.25">
      <c r="A21" s="147" t="s">
        <v>358</v>
      </c>
      <c r="B21" s="148">
        <f t="shared" si="3"/>
        <v>2179</v>
      </c>
      <c r="C21" s="148">
        <v>435</v>
      </c>
      <c r="D21" s="148">
        <v>167</v>
      </c>
      <c r="E21" s="148">
        <v>609</v>
      </c>
      <c r="F21" s="148">
        <v>445</v>
      </c>
      <c r="G21" s="148">
        <v>118</v>
      </c>
      <c r="H21" s="148">
        <v>67</v>
      </c>
      <c r="I21" s="148">
        <v>180</v>
      </c>
      <c r="J21" s="152"/>
      <c r="K21" s="154">
        <v>158</v>
      </c>
    </row>
    <row r="22" ht="14.25">
      <c r="A22" s="155" t="s">
        <v>359</v>
      </c>
      <c r="B22" s="156">
        <f t="shared" si="3"/>
        <v>2161</v>
      </c>
      <c r="C22" s="156">
        <v>316</v>
      </c>
      <c r="D22" s="156">
        <v>148</v>
      </c>
      <c r="E22" s="156">
        <v>552</v>
      </c>
      <c r="F22" s="156">
        <v>505</v>
      </c>
      <c r="G22" s="156">
        <v>181</v>
      </c>
      <c r="H22" s="156">
        <v>220</v>
      </c>
      <c r="I22" s="156">
        <v>88</v>
      </c>
      <c r="J22" s="157"/>
      <c r="K22" s="158">
        <v>151</v>
      </c>
    </row>
    <row r="23" ht="14.25">
      <c r="A23" s="155" t="s">
        <v>360</v>
      </c>
      <c r="B23" s="156">
        <v>3210</v>
      </c>
      <c r="C23" s="156">
        <v>69</v>
      </c>
      <c r="D23" s="156">
        <v>432</v>
      </c>
      <c r="E23" s="156">
        <v>1411</v>
      </c>
      <c r="F23" s="156">
        <v>243</v>
      </c>
      <c r="G23" s="156">
        <v>256</v>
      </c>
      <c r="H23" s="156">
        <v>456</v>
      </c>
      <c r="I23" s="156">
        <v>27</v>
      </c>
      <c r="J23" s="157"/>
      <c r="K23" s="158">
        <v>316</v>
      </c>
    </row>
    <row r="24" ht="14.25">
      <c r="A24" s="155" t="s">
        <v>361</v>
      </c>
      <c r="B24" s="156">
        <v>2056</v>
      </c>
      <c r="C24" s="156">
        <v>263</v>
      </c>
      <c r="D24" s="156">
        <v>70</v>
      </c>
      <c r="E24" s="156">
        <v>1054</v>
      </c>
      <c r="F24" s="156">
        <v>0</v>
      </c>
      <c r="G24" s="156">
        <v>440</v>
      </c>
      <c r="H24" s="156">
        <v>31</v>
      </c>
      <c r="I24" s="156">
        <v>26</v>
      </c>
      <c r="J24" s="157"/>
      <c r="K24" s="158">
        <v>172</v>
      </c>
    </row>
    <row r="25" ht="14.25">
      <c r="A25" s="155" t="s">
        <v>362</v>
      </c>
      <c r="B25" s="156">
        <v>3246</v>
      </c>
      <c r="C25" s="156">
        <v>608</v>
      </c>
      <c r="D25" s="156">
        <v>398</v>
      </c>
      <c r="E25" s="156">
        <v>311</v>
      </c>
      <c r="F25" s="156">
        <v>953</v>
      </c>
      <c r="G25" s="156">
        <v>347</v>
      </c>
      <c r="H25" s="156">
        <v>183</v>
      </c>
      <c r="I25" s="156">
        <v>147</v>
      </c>
      <c r="J25" s="157"/>
      <c r="K25" s="158">
        <v>299</v>
      </c>
    </row>
    <row r="26" ht="14.25">
      <c r="A26" s="155" t="s">
        <v>363</v>
      </c>
      <c r="B26" s="156">
        <f t="shared" si="3"/>
        <v>2204</v>
      </c>
      <c r="C26" s="156">
        <v>372</v>
      </c>
      <c r="D26" s="156">
        <v>324</v>
      </c>
      <c r="E26" s="156">
        <v>155</v>
      </c>
      <c r="F26" s="156">
        <v>672</v>
      </c>
      <c r="G26" s="156">
        <v>260</v>
      </c>
      <c r="H26" s="156">
        <v>130</v>
      </c>
      <c r="I26" s="156">
        <v>160</v>
      </c>
      <c r="J26" s="157"/>
      <c r="K26" s="158">
        <v>131</v>
      </c>
    </row>
    <row r="27" ht="14.25">
      <c r="A27" s="155" t="s">
        <v>364</v>
      </c>
      <c r="B27" s="156">
        <f t="shared" si="3"/>
        <v>1834</v>
      </c>
      <c r="C27" s="156">
        <v>210</v>
      </c>
      <c r="D27" s="156">
        <v>253</v>
      </c>
      <c r="E27" s="156">
        <v>418</v>
      </c>
      <c r="F27" s="156">
        <v>543</v>
      </c>
      <c r="G27" s="156">
        <v>211</v>
      </c>
      <c r="H27" s="156">
        <v>85</v>
      </c>
      <c r="I27" s="156">
        <v>54</v>
      </c>
      <c r="J27" s="157"/>
      <c r="K27" s="158">
        <v>60</v>
      </c>
    </row>
    <row r="28" ht="14.25">
      <c r="A28" s="159" t="s">
        <v>11</v>
      </c>
      <c r="B28" s="156">
        <v>3467</v>
      </c>
      <c r="C28" s="156">
        <v>446</v>
      </c>
      <c r="D28" s="156">
        <v>167</v>
      </c>
      <c r="E28" s="156">
        <v>1067</v>
      </c>
      <c r="F28" s="156">
        <v>978</v>
      </c>
      <c r="G28" s="156">
        <v>55</v>
      </c>
      <c r="H28" s="156">
        <v>165</v>
      </c>
      <c r="I28" s="156">
        <v>144</v>
      </c>
      <c r="J28" s="157"/>
      <c r="K28" s="158">
        <v>445</v>
      </c>
    </row>
    <row r="29" ht="14.25">
      <c r="A29" s="159" t="s">
        <v>365</v>
      </c>
      <c r="B29" s="156">
        <v>1908</v>
      </c>
      <c r="C29" s="160">
        <v>283</v>
      </c>
      <c r="D29" s="160">
        <v>94</v>
      </c>
      <c r="E29" s="160">
        <v>1068</v>
      </c>
      <c r="F29" s="160">
        <v>603</v>
      </c>
      <c r="G29" s="160">
        <v>168</v>
      </c>
      <c r="H29" s="160">
        <v>171</v>
      </c>
      <c r="I29" s="160">
        <v>143</v>
      </c>
      <c r="J29" s="161"/>
      <c r="K29" s="162">
        <v>196</v>
      </c>
    </row>
    <row r="30" ht="14.25">
      <c r="A30" s="159" t="s">
        <v>366</v>
      </c>
      <c r="B30" s="156">
        <f t="shared" si="3"/>
        <v>1694</v>
      </c>
      <c r="C30" s="160">
        <v>212</v>
      </c>
      <c r="D30" s="160">
        <v>121</v>
      </c>
      <c r="E30" s="160">
        <v>452</v>
      </c>
      <c r="F30" s="160">
        <v>371</v>
      </c>
      <c r="G30" s="160">
        <v>174</v>
      </c>
      <c r="H30" s="160">
        <v>96</v>
      </c>
      <c r="I30" s="160">
        <v>89</v>
      </c>
      <c r="J30" s="161"/>
      <c r="K30" s="162">
        <v>179</v>
      </c>
    </row>
    <row r="31" ht="14.25">
      <c r="A31" s="163" t="s">
        <v>367</v>
      </c>
      <c r="B31" s="164">
        <v>1310</v>
      </c>
      <c r="C31" s="165">
        <v>282</v>
      </c>
      <c r="D31" s="165">
        <v>153</v>
      </c>
      <c r="E31" s="165">
        <v>479</v>
      </c>
      <c r="F31" s="165">
        <v>356</v>
      </c>
      <c r="G31" s="165">
        <v>137</v>
      </c>
      <c r="H31" s="165">
        <v>244</v>
      </c>
      <c r="I31" s="165">
        <v>28</v>
      </c>
      <c r="J31" s="166"/>
      <c r="K31" s="167">
        <v>192</v>
      </c>
    </row>
    <row r="32" ht="14.25">
      <c r="A32" s="163" t="s">
        <v>368</v>
      </c>
      <c r="B32" s="164">
        <f t="shared" si="3"/>
        <v>2269</v>
      </c>
      <c r="C32" s="165">
        <v>198</v>
      </c>
      <c r="D32" s="165">
        <v>214</v>
      </c>
      <c r="E32" s="165">
        <v>583</v>
      </c>
      <c r="F32" s="165">
        <v>645</v>
      </c>
      <c r="G32" s="165">
        <v>194</v>
      </c>
      <c r="H32" s="165">
        <v>186</v>
      </c>
      <c r="I32" s="165">
        <v>84</v>
      </c>
      <c r="J32" s="166"/>
      <c r="K32" s="167">
        <v>165</v>
      </c>
    </row>
    <row r="33" ht="14.25">
      <c r="A33" s="163" t="s">
        <v>369</v>
      </c>
      <c r="B33" s="164">
        <f t="shared" si="3"/>
        <v>1554</v>
      </c>
      <c r="C33" s="165">
        <v>188</v>
      </c>
      <c r="D33" s="165">
        <v>166</v>
      </c>
      <c r="E33" s="165">
        <v>358</v>
      </c>
      <c r="F33" s="165">
        <v>293</v>
      </c>
      <c r="G33" s="165">
        <v>197</v>
      </c>
      <c r="H33" s="165">
        <v>128</v>
      </c>
      <c r="I33" s="165">
        <v>76</v>
      </c>
      <c r="J33" s="166"/>
      <c r="K33" s="167">
        <v>148</v>
      </c>
    </row>
    <row r="34" ht="14.25">
      <c r="A34" s="168" t="s">
        <v>370</v>
      </c>
      <c r="B34" s="164">
        <f t="shared" si="3"/>
        <v>1203</v>
      </c>
      <c r="C34" s="164">
        <v>173</v>
      </c>
      <c r="D34" s="164">
        <v>87</v>
      </c>
      <c r="E34" s="164">
        <v>7</v>
      </c>
      <c r="F34" s="164">
        <v>520</v>
      </c>
      <c r="G34" s="164">
        <v>130</v>
      </c>
      <c r="H34" s="164">
        <v>154</v>
      </c>
      <c r="I34" s="164">
        <v>101</v>
      </c>
      <c r="J34" s="169"/>
      <c r="K34" s="170">
        <v>31</v>
      </c>
    </row>
    <row r="35" ht="14.25">
      <c r="A35" s="168" t="s">
        <v>371</v>
      </c>
      <c r="B35" s="164">
        <f t="shared" si="3"/>
        <v>2350</v>
      </c>
      <c r="C35" s="164">
        <v>354</v>
      </c>
      <c r="D35" s="164">
        <v>99</v>
      </c>
      <c r="E35" s="164">
        <v>501</v>
      </c>
      <c r="F35" s="164">
        <v>431</v>
      </c>
      <c r="G35" s="164">
        <v>448</v>
      </c>
      <c r="H35" s="164">
        <v>180</v>
      </c>
      <c r="I35" s="164">
        <v>171</v>
      </c>
      <c r="J35" s="164">
        <v>134</v>
      </c>
      <c r="K35" s="171">
        <v>32</v>
      </c>
    </row>
    <row r="36" ht="14.25">
      <c r="A36" s="159" t="s">
        <v>372</v>
      </c>
      <c r="B36" s="164">
        <f>SUM(C36:K36)</f>
        <v>2209</v>
      </c>
      <c r="C36" s="172">
        <v>49</v>
      </c>
      <c r="D36" s="172">
        <v>803</v>
      </c>
      <c r="E36" s="172">
        <v>677</v>
      </c>
      <c r="F36" s="172">
        <v>46</v>
      </c>
      <c r="G36" s="172">
        <v>122</v>
      </c>
      <c r="H36" s="159">
        <v>45</v>
      </c>
      <c r="I36" s="172">
        <v>69</v>
      </c>
      <c r="J36" s="172">
        <v>192</v>
      </c>
      <c r="K36" s="172">
        <v>206</v>
      </c>
    </row>
    <row r="37" s="173" customFormat="1" ht="90" customHeight="1">
      <c r="A37" s="174" t="s">
        <v>373</v>
      </c>
      <c r="B37" s="175" t="s">
        <v>374</v>
      </c>
      <c r="C37" s="175"/>
      <c r="D37" s="175"/>
      <c r="E37" s="175"/>
      <c r="F37" s="175"/>
      <c r="G37" s="175"/>
      <c r="H37" s="175"/>
      <c r="I37" s="175"/>
      <c r="J37" s="176"/>
      <c r="K37" s="176" t="s">
        <v>375</v>
      </c>
      <c r="L37" s="176"/>
      <c r="M37" s="176"/>
      <c r="N37" s="176"/>
      <c r="O37" s="176"/>
      <c r="P37" s="173"/>
    </row>
    <row r="38" s="177" customFormat="1" ht="229.5" customHeight="1">
      <c r="A38" s="178" t="s">
        <v>332</v>
      </c>
      <c r="B38" s="179" t="s">
        <v>376</v>
      </c>
      <c r="C38" s="180"/>
      <c r="D38" s="180"/>
      <c r="E38" s="180"/>
      <c r="F38" s="180"/>
      <c r="G38" s="180"/>
      <c r="H38" s="180"/>
      <c r="I38" s="181"/>
      <c r="J38" s="182" t="s">
        <v>377</v>
      </c>
      <c r="K38" s="182"/>
      <c r="L38" s="182"/>
      <c r="M38" s="182"/>
      <c r="N38" s="182"/>
      <c r="O38" s="183"/>
      <c r="P38" s="177"/>
    </row>
    <row r="39" s="177" customFormat="1" ht="32.25" customHeight="1">
      <c r="A39" s="184" t="s">
        <v>336</v>
      </c>
      <c r="B39" s="185" t="s">
        <v>378</v>
      </c>
      <c r="C39" s="185"/>
      <c r="D39" s="185"/>
      <c r="E39" s="185"/>
      <c r="F39" s="185"/>
      <c r="G39" s="185"/>
      <c r="H39" s="185"/>
      <c r="I39" s="185"/>
      <c r="J39" s="186" t="s">
        <v>379</v>
      </c>
      <c r="K39" s="187"/>
      <c r="L39" s="187"/>
      <c r="M39" s="187"/>
      <c r="N39" s="187"/>
      <c r="O39" s="188"/>
      <c r="P39" s="177"/>
    </row>
    <row r="40" s="177" customFormat="1" ht="261" customHeight="1">
      <c r="A40" s="184" t="s">
        <v>339</v>
      </c>
      <c r="B40" s="189" t="s">
        <v>380</v>
      </c>
      <c r="C40" s="190"/>
      <c r="D40" s="190"/>
      <c r="E40" s="190"/>
      <c r="F40" s="190"/>
      <c r="G40" s="190"/>
      <c r="H40" s="190"/>
      <c r="I40" s="191"/>
      <c r="J40" s="192" t="s">
        <v>381</v>
      </c>
      <c r="K40" s="193"/>
      <c r="L40" s="193"/>
      <c r="M40" s="193"/>
      <c r="N40" s="193"/>
      <c r="O40" s="194"/>
      <c r="P40" s="177"/>
    </row>
    <row r="41" s="177" customFormat="1" ht="63.75" customHeight="1">
      <c r="A41" s="178" t="s">
        <v>333</v>
      </c>
      <c r="B41" s="195" t="s">
        <v>382</v>
      </c>
      <c r="C41" s="195"/>
      <c r="D41" s="195"/>
      <c r="E41" s="195"/>
      <c r="F41" s="195"/>
      <c r="G41" s="195"/>
      <c r="H41" s="195"/>
      <c r="I41" s="195"/>
      <c r="J41" s="196" t="s">
        <v>383</v>
      </c>
      <c r="K41" s="197"/>
      <c r="L41" s="197"/>
      <c r="M41" s="197"/>
      <c r="N41" s="197"/>
      <c r="O41" s="198"/>
      <c r="P41" s="177"/>
    </row>
    <row r="42" s="173" customFormat="1" ht="201" customHeight="1">
      <c r="A42" s="178" t="s">
        <v>338</v>
      </c>
      <c r="B42" s="195" t="s">
        <v>384</v>
      </c>
      <c r="C42" s="195"/>
      <c r="D42" s="195"/>
      <c r="E42" s="195"/>
      <c r="F42" s="195"/>
      <c r="G42" s="195"/>
      <c r="H42" s="195"/>
      <c r="I42" s="195"/>
      <c r="J42" s="196" t="s">
        <v>385</v>
      </c>
      <c r="K42" s="197"/>
      <c r="L42" s="197"/>
      <c r="M42" s="197"/>
      <c r="N42" s="197"/>
      <c r="O42" s="198"/>
      <c r="P42" s="173"/>
    </row>
    <row r="43" s="173" customFormat="1" ht="14.25">
      <c r="A43" s="173"/>
      <c r="B43" s="173"/>
      <c r="C43" s="173"/>
      <c r="D43" s="173"/>
      <c r="E43" s="173"/>
      <c r="F43" s="173"/>
      <c r="G43" s="173"/>
      <c r="I43" s="173"/>
      <c r="J43" s="173"/>
      <c r="K43" s="173"/>
      <c r="L43" s="173"/>
      <c r="M43" s="173"/>
      <c r="P43" s="173"/>
    </row>
    <row r="44" s="173" customFormat="1" ht="14.25">
      <c r="A44" s="173"/>
      <c r="B44" s="173"/>
      <c r="C44" s="173"/>
      <c r="D44" s="173"/>
      <c r="E44" s="173"/>
      <c r="F44" s="173"/>
      <c r="G44" s="173"/>
      <c r="I44" s="173"/>
      <c r="J44" s="173"/>
      <c r="K44" s="173"/>
      <c r="L44" s="173"/>
      <c r="M44" s="173"/>
      <c r="P44" s="173"/>
    </row>
    <row r="45" s="173" customFormat="1" ht="14.25">
      <c r="A45" s="173"/>
      <c r="B45" s="173"/>
      <c r="C45" s="173"/>
      <c r="D45" s="173"/>
      <c r="E45" s="173"/>
      <c r="F45" s="173"/>
      <c r="G45" s="173"/>
      <c r="I45" s="173"/>
      <c r="J45" s="173"/>
      <c r="K45" s="173"/>
      <c r="L45" s="173"/>
      <c r="M45" s="173"/>
      <c r="P45" s="173"/>
    </row>
    <row r="46" s="173" customFormat="1" ht="14.25">
      <c r="A46" s="173"/>
      <c r="B46" s="173"/>
      <c r="C46" s="173"/>
      <c r="D46" s="173"/>
      <c r="E46" s="173"/>
      <c r="F46" s="173"/>
      <c r="G46" s="173"/>
      <c r="I46" s="173"/>
      <c r="J46" s="173"/>
      <c r="K46" s="173"/>
      <c r="L46" s="173"/>
      <c r="M46" s="173"/>
      <c r="P46" s="173"/>
    </row>
    <row r="47" s="173" customFormat="1" ht="14.25">
      <c r="A47" s="173"/>
      <c r="B47" s="173"/>
      <c r="C47" s="173"/>
      <c r="D47" s="173"/>
      <c r="E47" s="173"/>
      <c r="F47" s="173"/>
      <c r="G47" s="173"/>
      <c r="I47" s="173"/>
      <c r="J47" s="173"/>
      <c r="K47" s="173"/>
      <c r="L47" s="173"/>
      <c r="M47" s="173"/>
      <c r="P47" s="173"/>
    </row>
    <row r="48" s="173" customFormat="1" ht="14.25">
      <c r="A48" s="173"/>
      <c r="B48" s="173"/>
      <c r="C48" s="173"/>
      <c r="D48" s="173"/>
      <c r="E48" s="173"/>
      <c r="F48" s="173"/>
      <c r="G48" s="173"/>
      <c r="I48" s="173"/>
      <c r="J48" s="173"/>
      <c r="K48" s="173"/>
      <c r="L48" s="173"/>
      <c r="M48" s="173"/>
      <c r="P48" s="173"/>
    </row>
    <row r="49" s="173" customFormat="1" ht="14.25">
      <c r="A49" s="173"/>
      <c r="B49" s="173"/>
      <c r="C49" s="173"/>
      <c r="D49" s="173"/>
      <c r="E49" s="173"/>
      <c r="F49" s="173"/>
      <c r="G49" s="173"/>
      <c r="I49" s="173"/>
      <c r="J49" s="173"/>
      <c r="K49" s="173"/>
      <c r="L49" s="173"/>
      <c r="M49" s="173"/>
      <c r="P49" s="173"/>
    </row>
    <row r="50" s="173" customFormat="1" ht="14.25">
      <c r="A50" s="173"/>
      <c r="B50" s="173"/>
      <c r="C50" s="173"/>
      <c r="D50" s="173"/>
      <c r="E50" s="173"/>
      <c r="F50" s="173"/>
      <c r="G50" s="173"/>
      <c r="I50" s="173"/>
      <c r="J50" s="173"/>
      <c r="K50" s="173"/>
      <c r="L50" s="173"/>
      <c r="M50" s="173"/>
      <c r="P50" s="173"/>
    </row>
    <row r="51" s="173" customFormat="1" ht="14.25">
      <c r="A51" s="173"/>
      <c r="B51" s="173"/>
      <c r="C51" s="173"/>
      <c r="D51" s="173"/>
      <c r="E51" s="173"/>
      <c r="F51" s="173"/>
      <c r="G51" s="173"/>
      <c r="I51" s="173"/>
      <c r="J51" s="173"/>
      <c r="K51" s="173"/>
      <c r="L51" s="173"/>
      <c r="M51" s="173"/>
      <c r="P51" s="173"/>
    </row>
    <row r="52" s="173" customFormat="1" ht="14.25">
      <c r="A52" s="173"/>
      <c r="B52" s="173"/>
      <c r="C52" s="173"/>
      <c r="D52" s="173"/>
      <c r="E52" s="173"/>
      <c r="F52" s="173"/>
      <c r="G52" s="173"/>
      <c r="I52" s="173"/>
      <c r="J52" s="173"/>
      <c r="K52" s="173"/>
      <c r="L52" s="173"/>
      <c r="M52" s="173"/>
      <c r="P52" s="173"/>
    </row>
    <row r="53" s="173" customFormat="1" ht="14.25">
      <c r="A53" s="173"/>
      <c r="B53" s="173"/>
      <c r="C53" s="173"/>
      <c r="D53" s="173"/>
      <c r="E53" s="173"/>
      <c r="F53" s="173"/>
      <c r="G53" s="173"/>
      <c r="I53" s="173"/>
      <c r="J53" s="173"/>
      <c r="K53" s="173"/>
      <c r="L53" s="173"/>
      <c r="M53" s="173"/>
      <c r="P53" s="173"/>
    </row>
    <row r="54" s="173" customFormat="1" ht="14.25">
      <c r="A54" s="173"/>
      <c r="B54" s="173"/>
      <c r="C54" s="173"/>
      <c r="D54" s="173"/>
      <c r="E54" s="173"/>
      <c r="F54" s="173"/>
      <c r="G54" s="173"/>
      <c r="I54" s="173"/>
      <c r="J54" s="173"/>
      <c r="K54" s="173"/>
      <c r="L54" s="173"/>
      <c r="M54" s="173"/>
      <c r="P54" s="173"/>
    </row>
    <row r="55" s="173" customFormat="1" ht="14.25">
      <c r="A55" s="173"/>
      <c r="B55" s="173"/>
      <c r="C55" s="173"/>
      <c r="D55" s="173"/>
      <c r="E55" s="173"/>
      <c r="F55" s="173"/>
      <c r="G55" s="173"/>
      <c r="I55" s="173"/>
      <c r="J55" s="173"/>
      <c r="K55" s="173"/>
      <c r="L55" s="173"/>
      <c r="M55" s="173"/>
      <c r="P55" s="173"/>
    </row>
    <row r="56" s="173" customFormat="1" ht="14.25">
      <c r="A56" s="173"/>
      <c r="B56" s="173"/>
      <c r="C56" s="173"/>
      <c r="D56" s="173"/>
      <c r="E56" s="173"/>
      <c r="F56" s="173"/>
      <c r="G56" s="173"/>
      <c r="I56" s="173"/>
      <c r="J56" s="173"/>
      <c r="K56" s="173"/>
      <c r="L56" s="173"/>
      <c r="M56" s="173"/>
      <c r="P56" s="173"/>
    </row>
    <row r="57" s="173" customFormat="1" ht="14.25">
      <c r="A57" s="173"/>
      <c r="B57" s="173"/>
      <c r="C57" s="173"/>
      <c r="D57" s="173"/>
      <c r="E57" s="173"/>
      <c r="F57" s="173"/>
      <c r="G57" s="173"/>
      <c r="I57" s="173"/>
      <c r="J57" s="173"/>
      <c r="K57" s="173"/>
      <c r="L57" s="173"/>
      <c r="M57" s="173"/>
      <c r="P57" s="173"/>
    </row>
    <row r="58" s="173" customFormat="1" ht="14.25">
      <c r="A58" s="173"/>
      <c r="B58" s="173"/>
      <c r="C58" s="173"/>
      <c r="D58" s="173"/>
      <c r="E58" s="173"/>
      <c r="F58" s="173"/>
      <c r="G58" s="173"/>
      <c r="I58" s="173"/>
      <c r="J58" s="173"/>
      <c r="K58" s="173"/>
      <c r="L58" s="173"/>
      <c r="M58" s="173"/>
      <c r="P58" s="173"/>
    </row>
    <row r="59" s="173" customFormat="1" ht="14.25">
      <c r="A59" s="173"/>
      <c r="B59" s="173"/>
      <c r="C59" s="173"/>
      <c r="D59" s="173"/>
      <c r="E59" s="173"/>
      <c r="F59" s="173"/>
      <c r="G59" s="173"/>
      <c r="I59" s="173"/>
      <c r="J59" s="173"/>
      <c r="K59" s="173"/>
      <c r="L59" s="173"/>
      <c r="M59" s="173"/>
      <c r="P59" s="173"/>
    </row>
    <row r="60" s="173" customFormat="1" ht="14.25">
      <c r="A60" s="173"/>
      <c r="B60" s="173"/>
      <c r="C60" s="173"/>
      <c r="D60" s="173"/>
      <c r="E60" s="173"/>
      <c r="F60" s="173"/>
      <c r="G60" s="173"/>
      <c r="I60" s="173"/>
      <c r="J60" s="173"/>
      <c r="K60" s="173"/>
      <c r="L60" s="173"/>
      <c r="M60" s="173"/>
      <c r="P60" s="173"/>
    </row>
    <row r="61" s="173" customFormat="1" ht="14.25">
      <c r="A61" s="173"/>
      <c r="B61" s="173"/>
      <c r="C61" s="173"/>
      <c r="D61" s="173"/>
      <c r="E61" s="173"/>
      <c r="F61" s="173"/>
      <c r="G61" s="173"/>
      <c r="I61" s="173"/>
      <c r="J61" s="173"/>
      <c r="K61" s="173"/>
      <c r="L61" s="173"/>
      <c r="M61" s="173"/>
      <c r="P61" s="173"/>
    </row>
    <row r="62" s="173" customFormat="1" ht="14.25">
      <c r="A62" s="173"/>
      <c r="B62" s="173"/>
      <c r="C62" s="173"/>
      <c r="D62" s="173"/>
      <c r="E62" s="173"/>
      <c r="F62" s="173"/>
      <c r="G62" s="173"/>
      <c r="I62" s="173"/>
      <c r="J62" s="173"/>
      <c r="K62" s="173"/>
      <c r="L62" s="173"/>
      <c r="M62" s="173"/>
      <c r="P62" s="173"/>
    </row>
    <row r="63" s="199" customFormat="1" ht="14.25">
      <c r="A63" s="199"/>
      <c r="B63" s="199"/>
      <c r="C63" s="199"/>
      <c r="D63" s="199"/>
      <c r="E63" s="199"/>
      <c r="F63" s="199"/>
      <c r="G63" s="199"/>
      <c r="I63" s="199"/>
      <c r="J63" s="199"/>
      <c r="K63" s="199"/>
      <c r="L63" s="199"/>
      <c r="M63" s="199"/>
      <c r="P63" s="199"/>
    </row>
    <row r="64" s="199" customFormat="1" ht="14.25">
      <c r="A64" s="199"/>
      <c r="B64" s="199"/>
      <c r="C64" s="199"/>
      <c r="D64" s="199"/>
      <c r="E64" s="199"/>
      <c r="F64" s="199"/>
      <c r="G64" s="199"/>
      <c r="I64" s="199"/>
      <c r="J64" s="199"/>
      <c r="K64" s="199"/>
      <c r="L64" s="199"/>
      <c r="M64" s="199"/>
      <c r="P64" s="199"/>
    </row>
    <row r="65" s="199" customFormat="1" ht="14.25">
      <c r="A65" s="199"/>
      <c r="B65" s="199"/>
      <c r="C65" s="199"/>
      <c r="D65" s="199"/>
      <c r="E65" s="199"/>
      <c r="F65" s="199"/>
      <c r="G65" s="199"/>
      <c r="I65" s="199"/>
      <c r="J65" s="199"/>
      <c r="K65" s="199"/>
      <c r="L65" s="199"/>
      <c r="M65" s="199"/>
      <c r="P65" s="199"/>
    </row>
    <row r="66" s="199" customFormat="1" ht="14.25">
      <c r="A66" s="199"/>
      <c r="B66" s="199"/>
      <c r="C66" s="199"/>
      <c r="D66" s="199"/>
      <c r="E66" s="199"/>
      <c r="F66" s="199"/>
      <c r="G66" s="199"/>
      <c r="I66" s="199"/>
      <c r="J66" s="199"/>
      <c r="K66" s="199"/>
      <c r="L66" s="199"/>
      <c r="M66" s="199"/>
      <c r="P66" s="199"/>
    </row>
    <row r="67" s="199" customFormat="1" ht="14.25">
      <c r="A67" s="199"/>
      <c r="B67" s="199"/>
      <c r="C67" s="199"/>
      <c r="D67" s="199"/>
      <c r="E67" s="199"/>
      <c r="F67" s="199"/>
      <c r="G67" s="199"/>
      <c r="I67" s="199"/>
      <c r="J67" s="199"/>
      <c r="K67" s="199"/>
      <c r="L67" s="199"/>
      <c r="M67" s="199"/>
      <c r="P67" s="199"/>
    </row>
    <row r="68" s="199" customFormat="1" ht="14.25">
      <c r="A68" s="199"/>
      <c r="B68" s="199"/>
      <c r="C68" s="199"/>
      <c r="D68" s="199"/>
      <c r="E68" s="199"/>
      <c r="F68" s="199"/>
      <c r="G68" s="199"/>
      <c r="I68" s="199"/>
      <c r="J68" s="199"/>
      <c r="K68" s="199"/>
      <c r="L68" s="199"/>
      <c r="M68" s="199"/>
      <c r="P68" s="199"/>
    </row>
    <row r="69" s="199" customFormat="1" ht="14.25">
      <c r="A69" s="199"/>
      <c r="B69" s="199"/>
      <c r="C69" s="199"/>
      <c r="D69" s="199"/>
      <c r="E69" s="199"/>
      <c r="F69" s="199"/>
      <c r="G69" s="199"/>
      <c r="I69" s="199"/>
      <c r="J69" s="199"/>
      <c r="K69" s="199"/>
      <c r="L69" s="199"/>
      <c r="M69" s="199"/>
      <c r="P69" s="199"/>
    </row>
    <row r="70" s="199" customFormat="1" ht="14.25">
      <c r="A70" s="199"/>
      <c r="B70" s="199"/>
      <c r="C70" s="199"/>
      <c r="D70" s="199"/>
      <c r="E70" s="199"/>
      <c r="F70" s="199"/>
      <c r="G70" s="199"/>
      <c r="I70" s="199"/>
      <c r="J70" s="199"/>
      <c r="K70" s="199"/>
      <c r="L70" s="199"/>
      <c r="M70" s="199"/>
      <c r="P70" s="199"/>
    </row>
    <row r="71" s="199" customFormat="1" ht="14.25">
      <c r="A71" s="199"/>
      <c r="B71" s="199"/>
      <c r="C71" s="199"/>
      <c r="D71" s="199"/>
      <c r="E71" s="199"/>
      <c r="F71" s="199"/>
      <c r="G71" s="199"/>
      <c r="I71" s="199"/>
      <c r="J71" s="199"/>
      <c r="K71" s="199"/>
      <c r="L71" s="199"/>
      <c r="M71" s="199"/>
      <c r="P71" s="199"/>
    </row>
    <row r="72" s="199" customFormat="1" ht="14.25">
      <c r="A72" s="199"/>
      <c r="B72" s="199"/>
      <c r="C72" s="199"/>
      <c r="D72" s="199"/>
      <c r="E72" s="199"/>
      <c r="F72" s="199"/>
      <c r="G72" s="199"/>
      <c r="I72" s="199"/>
      <c r="J72" s="199"/>
      <c r="K72" s="199"/>
      <c r="L72" s="199"/>
      <c r="M72" s="199"/>
      <c r="P72" s="199"/>
    </row>
    <row r="73" s="199" customFormat="1" ht="14.25">
      <c r="A73" s="199"/>
      <c r="B73" s="199"/>
      <c r="C73" s="199"/>
      <c r="D73" s="199"/>
      <c r="E73" s="199"/>
      <c r="F73" s="199"/>
      <c r="G73" s="199"/>
      <c r="I73" s="199"/>
      <c r="J73" s="199"/>
      <c r="K73" s="199"/>
      <c r="L73" s="199"/>
      <c r="M73" s="199"/>
      <c r="P73" s="199"/>
    </row>
    <row r="74" s="199" customFormat="1" ht="14.25">
      <c r="A74" s="199"/>
      <c r="B74" s="199"/>
      <c r="C74" s="199"/>
      <c r="D74" s="199"/>
      <c r="E74" s="199"/>
      <c r="F74" s="199"/>
      <c r="G74" s="199"/>
      <c r="I74" s="199"/>
      <c r="J74" s="199"/>
      <c r="K74" s="199"/>
      <c r="L74" s="199"/>
      <c r="M74" s="199"/>
      <c r="P74" s="199"/>
    </row>
    <row r="75" s="199" customFormat="1" ht="14.25">
      <c r="A75" s="199"/>
      <c r="B75" s="199"/>
      <c r="C75" s="199"/>
      <c r="D75" s="199"/>
      <c r="E75" s="199"/>
      <c r="F75" s="199"/>
      <c r="G75" s="199"/>
      <c r="I75" s="199"/>
      <c r="J75" s="199"/>
      <c r="K75" s="199"/>
      <c r="L75" s="199"/>
      <c r="M75" s="199"/>
      <c r="P75" s="199"/>
    </row>
    <row r="76" s="199" customFormat="1" ht="14.25">
      <c r="A76" s="199"/>
      <c r="B76" s="199"/>
      <c r="C76" s="199"/>
      <c r="D76" s="199"/>
      <c r="E76" s="199"/>
      <c r="F76" s="199"/>
      <c r="G76" s="199"/>
      <c r="I76" s="199"/>
      <c r="J76" s="199"/>
      <c r="K76" s="199"/>
      <c r="L76" s="199"/>
      <c r="M76" s="199"/>
      <c r="P76" s="199"/>
    </row>
    <row r="77" s="199" customFormat="1" ht="14.25">
      <c r="A77" s="199"/>
      <c r="B77" s="199"/>
      <c r="C77" s="199"/>
      <c r="D77" s="199"/>
      <c r="E77" s="199"/>
      <c r="F77" s="199"/>
      <c r="G77" s="199"/>
      <c r="I77" s="199"/>
      <c r="J77" s="199"/>
      <c r="K77" s="199"/>
      <c r="L77" s="199"/>
      <c r="M77" s="199"/>
      <c r="P77" s="199"/>
    </row>
    <row r="78" s="199" customFormat="1" ht="14.25">
      <c r="A78" s="199"/>
      <c r="B78" s="199"/>
      <c r="C78" s="199"/>
      <c r="D78" s="199"/>
      <c r="E78" s="199"/>
      <c r="F78" s="199"/>
      <c r="G78" s="199"/>
      <c r="I78" s="199"/>
      <c r="J78" s="199"/>
      <c r="K78" s="199"/>
      <c r="L78" s="199"/>
      <c r="M78" s="199"/>
      <c r="P78" s="199"/>
    </row>
    <row r="79" s="199" customFormat="1" ht="14.25">
      <c r="A79" s="199"/>
      <c r="B79" s="199"/>
      <c r="C79" s="199"/>
      <c r="D79" s="199"/>
      <c r="E79" s="199"/>
      <c r="F79" s="199"/>
      <c r="G79" s="199"/>
      <c r="I79" s="199"/>
      <c r="J79" s="199"/>
      <c r="K79" s="199"/>
      <c r="L79" s="199"/>
      <c r="M79" s="199"/>
      <c r="P79" s="199"/>
    </row>
  </sheetData>
  <mergeCells count="13">
    <mergeCell ref="A1:K1"/>
    <mergeCell ref="B37:I37"/>
    <mergeCell ref="K37:O37"/>
    <mergeCell ref="B38:I38"/>
    <mergeCell ref="J38:O38"/>
    <mergeCell ref="B39:I39"/>
    <mergeCell ref="J39:O39"/>
    <mergeCell ref="B40:I40"/>
    <mergeCell ref="J40:O40"/>
    <mergeCell ref="B41:I41"/>
    <mergeCell ref="J41:O41"/>
    <mergeCell ref="B42:I42"/>
    <mergeCell ref="J42:O42"/>
  </mergeCells>
  <printOptions headings="0" gridLines="0"/>
  <pageMargins left="0.70069444444444484" right="0.70069444444444484" top="0.75208333333333299" bottom="0.75208333333333299" header="0.51181102362204689" footer="0.51181102362204689"/>
  <pageSetup paperSize="9" scale="57" firstPageNumber="1" fitToWidth="1" fitToHeight="0" pageOrder="downThenOver" orientation="landscape" usePrinterDefaults="1" blackAndWhite="0" draft="0" cellComments="none" useFirstPageNumber="1" errors="displayed" horizontalDpi="300" verticalDpi="3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Администратор безопасности</dc:creator>
  <dc:description/>
  <dc:language>ru-RU</dc:language>
  <cp:lastModifiedBy>mdsapogov</cp:lastModifiedBy>
  <cp:revision>100</cp:revision>
  <dcterms:created xsi:type="dcterms:W3CDTF">2024-08-22T13:00:27Z</dcterms:created>
  <dcterms:modified xsi:type="dcterms:W3CDTF">2026-08-24T07:09:30Z</dcterms:modified>
</cp:coreProperties>
</file>