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ersons/person.xml" ContentType="application/vnd.ms-excel.person+xml"/>
  <Override PartName="/xl/drawings/drawing1.xml" ContentType="application/vnd.openxmlformats-officedocument.drawing+xml"/>
  <Override PartName="/xl/worksheets/sheet2.xml" ContentType="application/vnd.openxmlformats-officedocument.spreadsheetml.worksheet+xml"/>
  <Override PartName="/xl/threadedComments/threadedComment1.xml" ContentType="application/vnd.ms-excel.threadedcomments+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drawings/drawing2.xml" ContentType="application/vnd.openxmlformats-officedocument.drawing+xml"/>
  <Override PartName="/xl/sharedStrings.xml" ContentType="application/vnd.openxmlformats-officedocument.spreadsheetml.sharedStrings+xml"/>
  <Override PartName="/xl/comments1.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charts/chart1.xml" ContentType="application/vnd.openxmlformats-officedocument.drawingml.chart+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workbookProtection/>
  <bookViews>
    <workbookView xWindow="360" yWindow="15" windowWidth="20955" windowHeight="9720" activeTab="2"/>
  </bookViews>
  <sheets>
    <sheet name="ПЛАН" sheetId="1" state="hidden" r:id="rId2"/>
    <sheet name="СВОДНЫЙ ОТЧЁТ" sheetId="2" state="hidden" r:id="rId3"/>
    <sheet name="Количественная аналитика" sheetId="3" state="visible" r:id="rId4"/>
  </sheets>
  <calcPr refMode="A1" iterate="0" iterateCount="100" iterateDelta="0.000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tc={7A36D591-5026-A77C-731A-B42CBB4B07E6}</author>
    <author>tc={C0856490-28B3-ABE5-29E5-A3C8088F540A}</author>
    <author>tc={002000AF-0034-4B52-9945-006D00FE004D}</author>
    <author>tc={1BDAFC80-BEDF-6867-79E6-ED59D616EBB1}</author>
    <author>tc={FF7EC16E-B7C5-0BB9-54ED-10F49B6778C5}</author>
    <author>tc={DD9B5FF7-93FB-276C-D49B-4CC4B5EF50A7}</author>
    <author>tc={00AA0082-003A-472B-A959-00DF00CC0063}</author>
    <author>tc={AE6D22BC-4794-AEC7-9A56-C75D676CC73F}</author>
    <author>tc={85302ABA-13AF-017C-64EA-B4CD87FF48B2}</author>
    <author>tc={0094005F-0037-4F66-8159-00510022002F}</author>
    <author>tc={00020045-0050-40B5-A0A5-007200AC009C}</author>
    <author>tc={21829C90-2351-64A3-EDAB-E15EA5203A47}</author>
    <author>tc={A4D9EA6B-4076-9C83-27C9-68F5FB1BAEB4}</author>
    <author>tc={4C5BF61B-4513-0474-D250-373EBE2357E9}</author>
    <author>tc={9065D3B8-FB63-4CD9-5264-06F340BD7F72}</author>
    <author>tc={004900C1-0053-4DE6-8AE6-00A400B2004F}</author>
    <author>tc={000900F5-000D-4EDA-94D6-008B00A0001F}</author>
    <author>tc={02FD8472-F1C4-F0C2-60B9-3395153A7DEB}</author>
    <author>tc={7465DE8B-76AC-86A1-7DEE-F48BE5D11476}</author>
    <author>tc={F68BD222-A06E-CDBF-6BEB-CF50AC5E94F4}</author>
    <author>tc={001A002A-0010-487E-BA9E-00B00046002F}</author>
    <author>tc={003C0073-003C-4CED-9E88-00F7009C00BC}</author>
    <author>tc={008A001E-009E-486A-9A5C-00DD001700EE}</author>
    <author>tc={00E50023-00CA-4AB6-8EF5-00D500A9003F}</author>
    <author>tc={00A000A9-00A5-48E3-9C8D-007B00D30010}</author>
    <author>tc={DCDBF670-F4B6-EAAF-2170-098A2C828275}</author>
    <author>tc={6D23C66C-3DBA-A955-6A96-EF878D0394E3}</author>
    <author>tc={00CB006A-0085-47DD-982A-001100A00041}</author>
    <author>tc={00250091-00BE-4DE6-BA12-00A00047009C}</author>
    <author>tc={C40C920B-F22E-EDE2-6D14-8650659E438D}</author>
    <author>tc={CF35F684-2E1E-D153-0160-6A7C57A6D593}</author>
    <author>tc={D5F8F225-5BA4-8293-2EDD-BA832E3B195F}</author>
    <author>tc={972CEB12-3D8C-0650-1EC2-07980699E6E2}</author>
    <author>tc={00400002-0061-4130-9874-003E00660067}</author>
    <author>tc={C7FBC54C-94C2-4926-9F8B-7830A73CF4A4}</author>
    <author>tc={FC1BBD68-50DD-C2A2-B2C0-F186DCA51F97}</author>
    <author>tc={006400B8-0078-4122-84E6-00CF007D0035}</author>
    <author>tc={00EB00C1-00FD-494F-9951-009200CA0018}</author>
    <author>tc={4E964E8C-682D-A3DA-FD4A-68F6E85BAAD3}</author>
    <author>tc={AE330CE0-7D89-5678-42E8-533586FAF8E5}</author>
  </authors>
  <commentList>
    <comment ref="BS11" authorId="0" xr:uid="{7A36D591-5026-A77C-731A-B42CBB4B07E6}">
      <text>
        <r>
          <rPr>
            <b/>
            <sz val="9"/>
            <rFont val="Tahoma"/>
          </rPr>
          <t>apstaver:</t>
        </r>
        <r>
          <rPr>
            <sz val="9"/>
            <rFont val="Tahoma"/>
          </rPr>
          <t xml:space="preserve">
Кошик
</t>
        </r>
      </text>
    </comment>
    <comment ref="BU12" authorId="1" xr:uid="{C0856490-28B3-ABE5-29E5-A3C8088F540A}">
      <text>
        <r>
          <rPr>
            <b/>
            <sz val="9"/>
            <rFont val="Tahoma"/>
          </rPr>
          <t>apstaver:</t>
        </r>
        <r>
          <rPr>
            <sz val="9"/>
            <rFont val="Tahoma"/>
          </rPr>
          <t xml:space="preserve">
Кошик, Гасанов
</t>
        </r>
      </text>
    </comment>
    <comment ref="C3" authorId="2" xr:uid="{002000AF-0034-4B52-9945-006D00FE004D}">
      <text>
        <r>
          <rPr>
            <b/>
            <sz val="9"/>
            <rFont val="Tahoma"/>
          </rPr>
          <t>&lt;анонимный&gt;:</t>
        </r>
        <r>
          <rPr>
            <sz val="9"/>
            <rFont val="Tahoma"/>
          </rPr>
          <t xml:space="preserve">
sur:
АС
</t>
        </r>
      </text>
    </comment>
    <comment ref="BQ3" authorId="3" xr:uid="{1BDAFC80-BEDF-6867-79E6-ED59D616EBB1}">
      <text>
        <r>
          <rPr>
            <b/>
            <sz val="9"/>
            <rFont val="Tahoma"/>
          </rPr>
          <t>apstaver:</t>
        </r>
        <r>
          <rPr>
            <sz val="9"/>
            <rFont val="Tahoma"/>
          </rPr>
          <t xml:space="preserve">
Ставер
</t>
        </r>
      </text>
    </comment>
    <comment ref="BT3" authorId="4" xr:uid="{FF7EC16E-B7C5-0BB9-54ED-10F49B6778C5}">
      <text>
        <r>
          <rPr>
            <b/>
            <sz val="9"/>
            <rFont val="Tahoma"/>
          </rPr>
          <t>apstaver:</t>
        </r>
        <r>
          <rPr>
            <sz val="9"/>
            <rFont val="Tahoma"/>
          </rPr>
          <t xml:space="preserve">
Ставер
</t>
        </r>
      </text>
    </comment>
    <comment ref="BU3" authorId="5" xr:uid="{DD9B5FF7-93FB-276C-D49B-4CC4B5EF50A7}">
      <text>
        <r>
          <rPr>
            <b/>
            <sz val="9"/>
            <rFont val="Tahoma"/>
          </rPr>
          <t>apstaver:</t>
        </r>
        <r>
          <rPr>
            <sz val="9"/>
            <rFont val="Tahoma"/>
          </rPr>
          <t xml:space="preserve">
Ставер
</t>
        </r>
      </text>
    </comment>
    <comment ref="C4" authorId="6" xr:uid="{00AA0082-003A-472B-A959-00DF00CC0063}">
      <text>
        <r>
          <rPr>
            <b/>
            <sz val="9"/>
            <rFont val="Tahoma"/>
          </rPr>
          <t>&lt;анонимный&gt;:</t>
        </r>
        <r>
          <rPr>
            <sz val="9"/>
            <rFont val="Tahoma"/>
          </rPr>
          <t xml:space="preserve">
sur:
АС
</t>
        </r>
      </text>
    </comment>
    <comment ref="BP4" authorId="7" xr:uid="{AE6D22BC-4794-AEC7-9A56-C75D676CC73F}">
      <text>
        <r>
          <rPr>
            <b/>
            <sz val="9"/>
            <rFont val="Tahoma"/>
          </rPr>
          <t>apstaver:</t>
        </r>
        <r>
          <rPr>
            <sz val="9"/>
            <rFont val="Tahoma"/>
          </rPr>
          <t xml:space="preserve">
Ставер
</t>
        </r>
      </text>
    </comment>
    <comment ref="BU4" authorId="8" xr:uid="{85302ABA-13AF-017C-64EA-B4CD87FF48B2}">
      <text>
        <r>
          <rPr>
            <b/>
            <sz val="9"/>
            <rFont val="Tahoma"/>
          </rPr>
          <t>apstaver:</t>
        </r>
        <r>
          <rPr>
            <sz val="9"/>
            <rFont val="Tahoma"/>
          </rPr>
          <t xml:space="preserve">
Мулявин
</t>
        </r>
      </text>
    </comment>
    <comment ref="C5" authorId="9" xr:uid="{0094005F-0037-4F66-8159-00510022002F}">
      <text>
        <r>
          <rPr>
            <b/>
            <sz val="9"/>
            <rFont val="Tahoma"/>
          </rPr>
          <t>&lt;анонимный&gt;:</t>
        </r>
        <r>
          <rPr>
            <sz val="9"/>
            <rFont val="Tahoma"/>
          </rPr>
          <t xml:space="preserve">
sur:
АС
</t>
        </r>
      </text>
    </comment>
    <comment ref="E5" authorId="10" xr:uid="{00020045-0050-40B5-A0A5-007200AC009C}">
      <text>
        <r>
          <rPr>
            <b/>
            <sz val="9"/>
            <rFont val="Tahoma"/>
          </rPr>
          <t>&lt;анонимный&gt;:</t>
        </r>
        <r>
          <rPr>
            <sz val="9"/>
            <rFont val="Tahoma"/>
          </rPr>
          <t xml:space="preserve">
sur:
МС
</t>
        </r>
      </text>
    </comment>
    <comment ref="BP5" authorId="11" xr:uid="{21829C90-2351-64A3-EDAB-E15EA5203A47}">
      <text>
        <r>
          <rPr>
            <b/>
            <sz val="9"/>
            <rFont val="Tahoma"/>
          </rPr>
          <t>apstaver:</t>
        </r>
        <r>
          <rPr>
            <sz val="9"/>
            <rFont val="Tahoma"/>
          </rPr>
          <t xml:space="preserve">
Ставер
</t>
        </r>
      </text>
    </comment>
    <comment ref="BT5" authorId="12" xr:uid="{A4D9EA6B-4076-9C83-27C9-68F5FB1BAEB4}">
      <text>
        <r>
          <rPr>
            <b/>
            <sz val="9"/>
            <rFont val="Tahoma"/>
          </rPr>
          <t>apstaver:</t>
        </r>
        <r>
          <rPr>
            <sz val="9"/>
            <rFont val="Tahoma"/>
          </rPr>
          <t xml:space="preserve">
Ставер
</t>
        </r>
      </text>
    </comment>
    <comment ref="BV5" authorId="13" xr:uid="{4C5BF61B-4513-0474-D250-373EBE2357E9}">
      <text>
        <r>
          <rPr>
            <b/>
            <sz val="9"/>
            <rFont val="Tahoma"/>
          </rPr>
          <t>apstaver:</t>
        </r>
        <r>
          <rPr>
            <sz val="9"/>
            <rFont val="Tahoma"/>
          </rPr>
          <t xml:space="preserve">
Ставер, Лычев, Ананьев
</t>
        </r>
      </text>
    </comment>
    <comment ref="BW5" authorId="14" xr:uid="{9065D3B8-FB63-4CD9-5264-06F340BD7F72}">
      <text>
        <r>
          <rPr>
            <b/>
            <sz val="9"/>
            <rFont val="Tahoma"/>
          </rPr>
          <t>apstaver:</t>
        </r>
        <r>
          <rPr>
            <sz val="9"/>
            <rFont val="Tahoma"/>
          </rPr>
          <t xml:space="preserve">
Ставер, Ананьев
</t>
        </r>
      </text>
    </comment>
    <comment ref="E6" authorId="15" xr:uid="{004900C1-0053-4DE6-8AE6-00A400B2004F}">
      <text>
        <r>
          <rPr>
            <b/>
            <sz val="9"/>
            <rFont val="Tahoma"/>
          </rPr>
          <t>&lt;анонимный&gt;:</t>
        </r>
        <r>
          <rPr>
            <sz val="9"/>
            <rFont val="Tahoma"/>
          </rPr>
          <t xml:space="preserve">
sur:
АС
</t>
        </r>
      </text>
    </comment>
    <comment ref="F6" authorId="16" xr:uid="{000900F5-000D-4EDA-94D6-008B00A0001F}">
      <text>
        <r>
          <rPr>
            <b/>
            <sz val="9"/>
            <rFont val="Tahoma"/>
          </rPr>
          <t>&lt;анонимный&gt;:</t>
        </r>
        <r>
          <rPr>
            <sz val="9"/>
            <rFont val="Tahoma"/>
          </rPr>
          <t xml:space="preserve">
sur:
МС
</t>
        </r>
      </text>
    </comment>
    <comment ref="BP6" authorId="17" xr:uid="{02FD8472-F1C4-F0C2-60B9-3395153A7DEB}">
      <text>
        <r>
          <rPr>
            <b/>
            <sz val="9"/>
            <rFont val="Tahoma"/>
          </rPr>
          <t>apstaver:</t>
        </r>
        <r>
          <rPr>
            <sz val="9"/>
            <rFont val="Tahoma"/>
          </rPr>
          <t xml:space="preserve">
Ставер
</t>
        </r>
      </text>
    </comment>
    <comment ref="BT6" authorId="18" xr:uid="{7465DE8B-76AC-86A1-7DEE-F48BE5D11476}">
      <text>
        <r>
          <rPr>
            <b/>
            <sz val="9"/>
            <rFont val="Tahoma"/>
          </rPr>
          <t>apstaver:</t>
        </r>
        <r>
          <rPr>
            <sz val="9"/>
            <rFont val="Tahoma"/>
          </rPr>
          <t xml:space="preserve">
Ставер
</t>
        </r>
      </text>
    </comment>
    <comment ref="BU6" authorId="19" xr:uid="{F68BD222-A06E-CDBF-6BEB-CF50AC5E94F4}">
      <text>
        <r>
          <rPr>
            <b/>
            <sz val="9"/>
            <rFont val="Tahoma"/>
          </rPr>
          <t>apstaver:</t>
        </r>
        <r>
          <rPr>
            <sz val="9"/>
            <rFont val="Tahoma"/>
          </rPr>
          <t xml:space="preserve">
Ставер
</t>
        </r>
      </text>
    </comment>
    <comment ref="B7" authorId="20" xr:uid="{001A002A-0010-487E-BA9E-00B00046002F}">
      <text>
        <r>
          <rPr>
            <b/>
            <sz val="9"/>
            <rFont val="Tahoma"/>
          </rPr>
          <t>&lt;анонимный&gt;:</t>
        </r>
        <r>
          <rPr>
            <sz val="9"/>
            <rFont val="Tahoma"/>
          </rPr>
          <t xml:space="preserve">
sur:
МЧ
</t>
        </r>
      </text>
    </comment>
    <comment ref="C7" authorId="21" xr:uid="{003C0073-003C-4CED-9E88-00F7009C00BC}">
      <text>
        <r>
          <rPr>
            <b/>
            <sz val="9"/>
            <rFont val="Tahoma"/>
          </rPr>
          <t>&lt;анонимный&gt;:</t>
        </r>
        <r>
          <rPr>
            <sz val="9"/>
            <rFont val="Tahoma"/>
          </rPr>
          <t xml:space="preserve">
sur:
МЧ+АР
</t>
        </r>
      </text>
    </comment>
    <comment ref="D7" authorId="22" xr:uid="{008A001E-009E-486A-9A5C-00DD001700EE}">
      <text>
        <r>
          <rPr>
            <b/>
            <sz val="9"/>
            <rFont val="Tahoma"/>
          </rPr>
          <t>&lt;анонимный&gt;:</t>
        </r>
        <r>
          <rPr>
            <sz val="9"/>
            <rFont val="Tahoma"/>
          </rPr>
          <t xml:space="preserve">
sur:
МЧ+АР
</t>
        </r>
      </text>
    </comment>
    <comment ref="E7" authorId="23" xr:uid="{00E50023-00CA-4AB6-8EF5-00D500A9003F}">
      <text>
        <r>
          <rPr>
            <b/>
            <sz val="9"/>
            <rFont val="Tahoma"/>
          </rPr>
          <t>&lt;анонимный&gt;:</t>
        </r>
        <r>
          <rPr>
            <sz val="9"/>
            <rFont val="Tahoma"/>
          </rPr>
          <t xml:space="preserve">
sur:
АС
</t>
        </r>
      </text>
    </comment>
    <comment ref="F7" authorId="24" xr:uid="{00A000A9-00A5-48E3-9C8D-007B00D30010}">
      <text>
        <r>
          <rPr>
            <b/>
            <sz val="9"/>
            <rFont val="Tahoma"/>
          </rPr>
          <t>&lt;анонимный&gt;:</t>
        </r>
        <r>
          <rPr>
            <sz val="9"/>
            <rFont val="Tahoma"/>
          </rPr>
          <t xml:space="preserve">
sur:
МС
</t>
        </r>
      </text>
    </comment>
    <comment ref="BP7" authorId="25" xr:uid="{DCDBF670-F4B6-EAAF-2170-098A2C828275}">
      <text>
        <r>
          <rPr>
            <b/>
            <sz val="9"/>
            <rFont val="Tahoma"/>
          </rPr>
          <t>apstaver:</t>
        </r>
        <r>
          <rPr>
            <sz val="9"/>
            <rFont val="Tahoma"/>
          </rPr>
          <t xml:space="preserve">
Кошик, Гасанов
</t>
        </r>
      </text>
    </comment>
    <comment ref="BT7" authorId="26" xr:uid="{6D23C66C-3DBA-A955-6A96-EF878D0394E3}">
      <text>
        <r>
          <rPr>
            <b/>
            <sz val="9"/>
            <rFont val="Tahoma"/>
          </rPr>
          <t>apstaver:</t>
        </r>
        <r>
          <rPr>
            <sz val="9"/>
            <rFont val="Tahoma"/>
          </rPr>
          <t xml:space="preserve">
Ставер
</t>
        </r>
      </text>
    </comment>
    <comment ref="E8" authorId="27" xr:uid="{00CB006A-0085-47DD-982A-001100A00041}">
      <text>
        <r>
          <rPr>
            <b/>
            <sz val="9"/>
            <rFont val="Tahoma"/>
          </rPr>
          <t>&lt;анонимный&gt;:</t>
        </r>
        <r>
          <rPr>
            <sz val="9"/>
            <rFont val="Tahoma"/>
          </rPr>
          <t xml:space="preserve">
sur:
АС
</t>
        </r>
      </text>
    </comment>
    <comment ref="F8" authorId="28" xr:uid="{00250091-00BE-4DE6-BA12-00A00047009C}">
      <text>
        <r>
          <rPr>
            <b/>
            <sz val="9"/>
            <rFont val="Tahoma"/>
          </rPr>
          <t>&lt;анонимный&gt;:</t>
        </r>
        <r>
          <rPr>
            <sz val="9"/>
            <rFont val="Tahoma"/>
          </rPr>
          <t xml:space="preserve">
sur:
АС
</t>
        </r>
      </text>
    </comment>
    <comment ref="BP8" authorId="29" xr:uid="{C40C920B-F22E-EDE2-6D14-8650659E438D}">
      <text>
        <r>
          <rPr>
            <b/>
            <sz val="9"/>
            <rFont val="Tahoma"/>
          </rPr>
          <t>apstaver:</t>
        </r>
        <r>
          <rPr>
            <sz val="9"/>
            <rFont val="Tahoma"/>
          </rPr>
          <t xml:space="preserve">
Кошик, Гасанов
</t>
        </r>
      </text>
    </comment>
    <comment ref="BR8" authorId="30" xr:uid="{CF35F684-2E1E-D153-0160-6A7C57A6D593}">
      <text>
        <r>
          <rPr>
            <b/>
            <sz val="9"/>
            <rFont val="Tahoma"/>
          </rPr>
          <t>apstaver:</t>
        </r>
        <r>
          <rPr>
            <sz val="9"/>
            <rFont val="Tahoma"/>
          </rPr>
          <t xml:space="preserve">
Кошие, Гасанов
</t>
        </r>
      </text>
    </comment>
    <comment ref="BT8" authorId="31" xr:uid="{D5F8F225-5BA4-8293-2EDD-BA832E3B195F}">
      <text>
        <r>
          <rPr>
            <b/>
            <sz val="9"/>
            <rFont val="Tahoma"/>
          </rPr>
          <t>apstaver:</t>
        </r>
        <r>
          <rPr>
            <sz val="9"/>
            <rFont val="Tahoma"/>
          </rPr>
          <t xml:space="preserve">
Ставер
</t>
        </r>
      </text>
    </comment>
    <comment ref="BU8" authorId="32" xr:uid="{972CEB12-3D8C-0650-1EC2-07980699E6E2}">
      <text>
        <r>
          <rPr>
            <b/>
            <sz val="9"/>
            <rFont val="Tahoma"/>
          </rPr>
          <t>apstaver:</t>
        </r>
        <r>
          <rPr>
            <sz val="9"/>
            <rFont val="Tahoma"/>
          </rPr>
          <t xml:space="preserve">
Ставер, Лычев, Ананьев
</t>
        </r>
      </text>
    </comment>
    <comment ref="D9" authorId="33" xr:uid="{00400002-0061-4130-9874-003E00660067}">
      <text>
        <r>
          <rPr>
            <b/>
            <sz val="9"/>
            <rFont val="Tahoma"/>
          </rPr>
          <t>&lt;анонимный&gt;:</t>
        </r>
        <r>
          <rPr>
            <sz val="9"/>
            <rFont val="Tahoma"/>
          </rPr>
          <t xml:space="preserve">
sur:
АС
</t>
        </r>
      </text>
    </comment>
    <comment ref="BP9" authorId="34" xr:uid="{C7FBC54C-94C2-4926-9F8B-7830A73CF4A4}">
      <text>
        <r>
          <rPr>
            <b/>
            <sz val="9"/>
            <rFont val="Tahoma"/>
          </rPr>
          <t>apstaver:</t>
        </r>
        <r>
          <rPr>
            <sz val="9"/>
            <rFont val="Tahoma"/>
          </rPr>
          <t xml:space="preserve">
Кошик, Гасанов
</t>
        </r>
      </text>
    </comment>
    <comment ref="BR9" authorId="35" xr:uid="{FC1BBD68-50DD-C2A2-B2C0-F186DCA51F97}">
      <text>
        <r>
          <rPr>
            <b/>
            <sz val="9"/>
            <rFont val="Tahoma"/>
          </rPr>
          <t>apstaver:</t>
        </r>
        <r>
          <rPr>
            <sz val="9"/>
            <rFont val="Tahoma"/>
          </rPr>
          <t xml:space="preserve">
Кошик
</t>
        </r>
      </text>
    </comment>
    <comment ref="E10" authorId="36" xr:uid="{006400B8-0078-4122-84E6-00CF007D0035}">
      <text>
        <r>
          <rPr>
            <b/>
            <sz val="9"/>
            <rFont val="Tahoma"/>
          </rPr>
          <t>&lt;анонимный&gt;:</t>
        </r>
        <r>
          <rPr>
            <sz val="9"/>
            <rFont val="Tahoma"/>
          </rPr>
          <t xml:space="preserve">
sur:
АС
</t>
        </r>
      </text>
    </comment>
    <comment ref="F10" authorId="37" xr:uid="{00EB00C1-00FD-494F-9951-009200CA0018}">
      <text>
        <r>
          <rPr>
            <b/>
            <sz val="9"/>
            <rFont val="Tahoma"/>
          </rPr>
          <t>&lt;анонимный&gt;:</t>
        </r>
        <r>
          <rPr>
            <sz val="9"/>
            <rFont val="Tahoma"/>
          </rPr>
          <t xml:space="preserve">
sur:
МС
</t>
        </r>
      </text>
    </comment>
    <comment ref="BQ10" authorId="38" xr:uid="{4E964E8C-682D-A3DA-FD4A-68F6E85BAAD3}">
      <text>
        <r>
          <rPr>
            <b/>
            <sz val="9"/>
            <rFont val="Tahoma"/>
          </rPr>
          <t>apstaver:</t>
        </r>
        <r>
          <rPr>
            <sz val="9"/>
            <rFont val="Tahoma"/>
          </rPr>
          <t xml:space="preserve">
Ставер
</t>
        </r>
      </text>
    </comment>
    <comment ref="BT10" authorId="39" xr:uid="{AE330CE0-7D89-5678-42E8-533586FAF8E5}">
      <text>
        <r>
          <rPr>
            <b/>
            <sz val="9"/>
            <rFont val="Tahoma"/>
          </rPr>
          <t>apstaver:</t>
        </r>
        <r>
          <rPr>
            <sz val="9"/>
            <rFont val="Tahoma"/>
          </rPr>
          <t xml:space="preserve">
Лычев, Ананьев, Ставер
</t>
        </r>
      </text>
    </comment>
  </commentList>
</comments>
</file>

<file path=xl/sharedStrings.xml><?xml version="1.0" encoding="utf-8"?>
<sst xmlns="http://schemas.openxmlformats.org/spreadsheetml/2006/main" count="391" uniqueCount="391">
  <si>
    <t xml:space="preserve">Ноябрь 2024</t>
  </si>
  <si>
    <t xml:space="preserve">Декабрь 2024</t>
  </si>
  <si>
    <t xml:space="preserve">Январь 2025</t>
  </si>
  <si>
    <t xml:space="preserve">Февраль 2025</t>
  </si>
  <si>
    <t xml:space="preserve">МАРТ 2025</t>
  </si>
  <si>
    <t xml:space="preserve">АПРЕЛЬ 2025</t>
  </si>
  <si>
    <t xml:space="preserve">Июня 2025</t>
  </si>
  <si>
    <t xml:space="preserve">Август 2025</t>
  </si>
  <si>
    <t xml:space="preserve">Сентябрь 2025</t>
  </si>
  <si>
    <t xml:space="preserve">Октябрь 2025</t>
  </si>
  <si>
    <t xml:space="preserve">Ноябрь 2025</t>
  </si>
  <si>
    <t xml:space="preserve">Декабрь, 2025</t>
  </si>
  <si>
    <t xml:space="preserve">ФЕВРАЛЬ 2026</t>
  </si>
  <si>
    <t xml:space="preserve">МАРТ 2026</t>
  </si>
  <si>
    <t xml:space="preserve">АПРЕЛЬ 2026</t>
  </si>
  <si>
    <t xml:space="preserve">МАЙ 2026</t>
  </si>
  <si>
    <t xml:space="preserve">ИЮНЬ 2026</t>
  </si>
  <si>
    <t xml:space="preserve">ИЮЛЬ 2026</t>
  </si>
  <si>
    <t>28.10-03.11</t>
  </si>
  <si>
    <t>04.11-10.11</t>
  </si>
  <si>
    <t>11.11-17.11</t>
  </si>
  <si>
    <t>18.11-24.11</t>
  </si>
  <si>
    <t>25.11-01.12</t>
  </si>
  <si>
    <t>02.12-08.12</t>
  </si>
  <si>
    <t>09.12-15.12</t>
  </si>
  <si>
    <t>16.12-24.12</t>
  </si>
  <si>
    <t>25.12-12.01</t>
  </si>
  <si>
    <t>13.01-19.01</t>
  </si>
  <si>
    <t>20.01-24.01</t>
  </si>
  <si>
    <t>25.12-02.02</t>
  </si>
  <si>
    <t>03.02-09.02</t>
  </si>
  <si>
    <t>10.02-16.02</t>
  </si>
  <si>
    <t>17.02-24.02</t>
  </si>
  <si>
    <t>25.02-02.03</t>
  </si>
  <si>
    <t>03.03-09.03</t>
  </si>
  <si>
    <t>10.03-16.03</t>
  </si>
  <si>
    <t>17.03-24.03</t>
  </si>
  <si>
    <t>25.03-30.03</t>
  </si>
  <si>
    <t>31.03-06.04</t>
  </si>
  <si>
    <t>07.04-13.04</t>
  </si>
  <si>
    <t>14.04-24.04</t>
  </si>
  <si>
    <t>25.04-04.05</t>
  </si>
  <si>
    <t>05.05-11.05</t>
  </si>
  <si>
    <t>12.05-18.05</t>
  </si>
  <si>
    <t>19.05-24.05</t>
  </si>
  <si>
    <t>25.05-01.06</t>
  </si>
  <si>
    <t>02.06-08.06</t>
  </si>
  <si>
    <t>09.06-15.06</t>
  </si>
  <si>
    <t>16.06-24.06</t>
  </si>
  <si>
    <t>25.07-03.08</t>
  </si>
  <si>
    <t>04.08-10.08</t>
  </si>
  <si>
    <t>11.08-17.08</t>
  </si>
  <si>
    <t>18.08-24.08</t>
  </si>
  <si>
    <t>25.08-31.08</t>
  </si>
  <si>
    <t>01.09-07.09</t>
  </si>
  <si>
    <t>08.09-14.09</t>
  </si>
  <si>
    <t>15.09-24.09</t>
  </si>
  <si>
    <t>25.09-05.10</t>
  </si>
  <si>
    <t>06.10-12.10</t>
  </si>
  <si>
    <t>13.10-19.10</t>
  </si>
  <si>
    <t>20.10-24.10</t>
  </si>
  <si>
    <t>25.10-02.11</t>
  </si>
  <si>
    <t>03.11-09.11</t>
  </si>
  <si>
    <t>10.11-16.11</t>
  </si>
  <si>
    <t>17.11-24.11</t>
  </si>
  <si>
    <t>25.11-30.11</t>
  </si>
  <si>
    <t>01.12-07.12</t>
  </si>
  <si>
    <t>08.12-14.12</t>
  </si>
  <si>
    <t>15.12-24.12</t>
  </si>
  <si>
    <t>25.01-01.02</t>
  </si>
  <si>
    <t>02.02-08.02</t>
  </si>
  <si>
    <t>09.02-15.02</t>
  </si>
  <si>
    <t>16.02-24.02</t>
  </si>
  <si>
    <t>25.02-01.03</t>
  </si>
  <si>
    <t>02.03-08.03</t>
  </si>
  <si>
    <t>09.03-15.03</t>
  </si>
  <si>
    <t>16.03-24.03</t>
  </si>
  <si>
    <t>25.03-05.04</t>
  </si>
  <si>
    <t>06.04-12.04</t>
  </si>
  <si>
    <t>13.04-19.04</t>
  </si>
  <si>
    <t>20.04-24.04</t>
  </si>
  <si>
    <t>25.04-03.05</t>
  </si>
  <si>
    <t>04.05-10.05</t>
  </si>
  <si>
    <t>11.05-17.05</t>
  </si>
  <si>
    <t>18.05-24.05</t>
  </si>
  <si>
    <t>25.05-31.05</t>
  </si>
  <si>
    <t>01.06-07.06</t>
  </si>
  <si>
    <t>08.06-14.06</t>
  </si>
  <si>
    <t>15.06-24.06</t>
  </si>
  <si>
    <t>25.06-05.07</t>
  </si>
  <si>
    <t>06.07-12.07</t>
  </si>
  <si>
    <t>13.07-19.07</t>
  </si>
  <si>
    <t>20.07-24.07</t>
  </si>
  <si>
    <t xml:space="preserve">Направлен ежемесячный отчёт ФГИСКИ</t>
  </si>
  <si>
    <t xml:space="preserve">Подготовлен приказ и актуализированы (23 документа) ОРД в соответствии с резолюцией.</t>
  </si>
  <si>
    <t xml:space="preserve">Настроено ЕОП: Аппарат. Найдена уязвимость по информационной безопасности. </t>
  </si>
  <si>
    <t xml:space="preserve">Заключено дополнительное соглашение на аренду аппаратных мощностоей (до 2025 года)</t>
  </si>
  <si>
    <t xml:space="preserve">Направлен отчёт ПИ24</t>
  </si>
  <si>
    <t xml:space="preserve">Проведена работа по развёртыванию новых 4 серверов (ИИ, Бот, Сервер баз данны, сервер приложений), заключено дополнительное соглашение</t>
  </si>
  <si>
    <t xml:space="preserve">Подготовлено ТЗ на реализацию функционала отправки электронной отчётности</t>
  </si>
  <si>
    <t xml:space="preserve">Выполнена подготовка к переносу баз данных по ЗП учреждений здравоохранения. Разделение едниной базы на множество по учреждениям</t>
  </si>
  <si>
    <t xml:space="preserve">Проведён анализ формирования пакетов с типом «Отчет об имуществе» в Государственных учреждениях для дальнейшей отправки в ГИС Имущество. Консультации в исправлении ошибок учета ОС и помощь в написании заявок в Фаргус и НПО Криста. Тестовая выгрузка совместно с сотрудниками Департамента Имущества</t>
  </si>
  <si>
    <t xml:space="preserve">Перенос остатков ЯМАЛСПАС на 01.01.2025, при смене формы организации юридического лица</t>
  </si>
  <si>
    <t xml:space="preserve">Выполнено тестирование Личного кабинета в части подписания документов 61н КЭП</t>
  </si>
  <si>
    <t xml:space="preserve">Проведено ВКС на тему реинжиниринга аппаратных мощностей, обеспечивающие серверные функции ГИС "Смета ЯНАО"</t>
  </si>
  <si>
    <t xml:space="preserve">Настроено Единое окно подписания на 29 БД</t>
  </si>
  <si>
    <t xml:space="preserve">Внесены изменения в план информатизации: добавлено 2 мероприятия, разработана схема взаимодействия в нотации bpm, изменены 2 мероприятия (увеличены суммы и количество организаций)</t>
  </si>
  <si>
    <t xml:space="preserve">Успешно апробирован плагин подписания документов (КЭП) в Веб-Смете. Соблюдена полная совместимость плагина Веб-Сметы и ЛК. Теперь есть поддержка для РЕД ОС 8</t>
  </si>
  <si>
    <t xml:space="preserve">Выполнены настройки по новым документам в ГИС "СМЕТА ЯНАО": Инвентаризация БСО, Карточка справка электронное подписание</t>
  </si>
  <si>
    <t xml:space="preserve">Выполнена настройка 25 баз данных для согласования уведомлений МБТ от МО к ОУи ЦБ</t>
  </si>
  <si>
    <t xml:space="preserve">Выполнена настройка с МЧД для отправки отчётности с федеральную налоговую службу. Проведена работа с ИО по получению открытых ключей КЭП, диагностике ошибок канала связи: Смета-Астрал-ФНС</t>
  </si>
  <si>
    <t xml:space="preserve">Направлен отчёт "Затраты на ПО и меры поддержки IT-проектов"</t>
  </si>
  <si>
    <t xml:space="preserve">Сформирован и направлен реестр данных по импортозамещению</t>
  </si>
  <si>
    <t xml:space="preserve">Актуализировано ТЗ на сопровождение ГИС "Смета ЯНАО"</t>
  </si>
  <si>
    <t xml:space="preserve">Подготовлено ТЗ на выполнение работ по развитию ГИС «Смета ЯНАО» в части обеспечения электронного взаимодействия с внешней информационной системой ГИС «Имущество ЯНАО»</t>
  </si>
  <si>
    <t xml:space="preserve">Подготвлена 1-я редакция техтребований на выполнение работ по разивитию ГИС "Смета ЯНАО" в части администрирования (Принцип nsi.yanao.ru) </t>
  </si>
  <si>
    <t xml:space="preserve">Подготовлено финансово-экомические обоснования: Интеграция с ТЕЗИС, ЕСКУ, Сопровождение ГИС "Смета ЯНАО" в 2026</t>
  </si>
  <si>
    <t xml:space="preserve">Подготовлен перечень функционала для делегирования и перераспределения сотрудников отдела IT в случае отвлечений</t>
  </si>
  <si>
    <t xml:space="preserve">Подготовлены бизнес-требования интеграции ЛКиЛКггс</t>
  </si>
  <si>
    <t xml:space="preserve">Разработан сервис для получения в реальном времени количественных показателей -  обработанных файлов - вложлений подотчётных первичных документов искусственным интеллектом. Итерация 1</t>
  </si>
  <si>
    <t xml:space="preserve">Подготовлено ТЗ Кросс-подписание</t>
  </si>
  <si>
    <t xml:space="preserve">ЛК: обновлён интерфейс, автоматическое распознавание по умолчанию, автоматическая классификация, добавлена возможность распознавания проездных документов по транспорту (вертолет, автобус, дополнительные виды жд билетов), добавлен форматно-логический контроль заполнения формы</t>
  </si>
  <si>
    <t xml:space="preserve">Утверждён план работ по развитию Сметы в части администрирования. Проводится работа по подготовке MVP на примере выборочный БД</t>
  </si>
  <si>
    <t xml:space="preserve">Проведена коррекция плана информатизации 2025</t>
  </si>
  <si>
    <t xml:space="preserve">Проведено тестирование Веб-Смета 2.0. Подготовлен список замечаний (28)</t>
  </si>
  <si>
    <r>
      <rPr>
        <sz val="8"/>
        <color theme="1"/>
        <rFont val="Arial"/>
      </rPr>
      <t xml:space="preserve">Разработана концепция единого сервера обновлений Сметы для всех участников бюджетного процесса (стабильная ветка), экспериментальная ветка обновлений (ЦБ). Практическое применение после обновления ЭДО и тестирования. В </t>
    </r>
    <r>
      <rPr>
        <b/>
        <sz val="8"/>
        <color theme="1"/>
        <rFont val="Arial"/>
      </rPr>
      <t xml:space="preserve">РЕЗУЛЬТАТЕ: для любого подключения из РМТКС - ЕДИНЫЙ СЕРВЕР ОБНОВЛЕНИЙ СМЕТЫ, как стабильной ветки, так и экспериментальной</t>
    </r>
  </si>
  <si>
    <t xml:space="preserve">сервис telemost.yanao.ru теперь доступен везде где установлена Смета, направлено письмо для популяризации сервиса в исполнительные органы в ЯНАО</t>
  </si>
  <si>
    <t xml:space="preserve">Разработано ТЗ по получению справок об обучении через витрину данных Образования (СМЭВ), проработаны вопросы и учтены предложения Исполнителя</t>
  </si>
  <si>
    <t xml:space="preserve">Подготовлен проект ТЗ на слияние баз данных ГИС "Смета ЯНАО" отдельных муниципальных учреждений</t>
  </si>
  <si>
    <t xml:space="preserve">ЕСИА выполнены запросы КП на пусконаладочные работы программного модуля НТЦК для интеграции с ФГИС ЕСИА, найдено как минимум одно рабочее решение. Работа продолжается</t>
  </si>
  <si>
    <t xml:space="preserve">Проведены исследования по автоматическому подписанию квалифицированной электронной подписью на стороннем сервисе любых документов. Модель соответствует требованиям по информационной безопасности, возможна реализация собственными силами учреждения </t>
  </si>
  <si>
    <t xml:space="preserve">Развёрнут тестовый контур интеграции Смета-Тезис. Успешно выполнено подключение между серверами, реализована модель аутентификации </t>
  </si>
  <si>
    <t xml:space="preserve">Подготовлен чек-лист сопровождения работы сервиса подотчётных лиц</t>
  </si>
  <si>
    <t xml:space="preserve">Подготовлена информация по муниципальным образованиям в ЯНАО в части детализации отображения сведений по заработной плате руководителей на fa.yanao.ru</t>
  </si>
  <si>
    <t xml:space="preserve">Проведена приёмка функционала самоадминистрирования баз данных ГИС "Смета ЯНАО" на примере тестовой базы и исключительно в тонком клиенте. Замечаний не зафиксировано</t>
  </si>
  <si>
    <t xml:space="preserve">Сформулированы функциональные требования и разработана архитектура будущего приложения с связке с SDK "Адаптер Инфраструктуры" для интеграции сервиса подотчётных лиц с ФГИС ЕСИА. Проведено установочное совещание на котором распределены роли и задачи для НПО Криста и Ставеру А.П.</t>
  </si>
  <si>
    <t xml:space="preserve">Направлен отчёт: ФГИСКИ</t>
  </si>
  <si>
    <t xml:space="preserve">ЕСИА: Развёрнут контур подключения на рабочих серверах, передано управление НПО "Криста" для интеграции ЛК</t>
  </si>
  <si>
    <t xml:space="preserve">Актуализировано ТЗ по мероприятию: Оказание услуг по настройке ГИС «Смета ЯНАО» в части электронного взаимодействия (интеграции) с внешней информационной системой ГИС «Имущество ЯНАО»</t>
  </si>
  <si>
    <t xml:space="preserve">Направленная ранее заявка в Федеральный институт промышленной собственности успешно отработана; проводится работа по корректировке(совместно А.А. Черновым)</t>
  </si>
  <si>
    <t xml:space="preserve">Отправлен отчёт по ЕСКУ</t>
  </si>
  <si>
    <t xml:space="preserve">ЕСИА: Реализовать функционал репликаций учётных записей в сводную БД по СНИЛС в двух режимах: планировщик, в ручном режиме</t>
  </si>
  <si>
    <t xml:space="preserve">Добавлен функционал ЕОП для руководителей структурных подразделений (Дитис БД)</t>
  </si>
  <si>
    <t xml:space="preserve">Исправлены ошибки и протестирован импорт документов из ЕИС</t>
  </si>
  <si>
    <t xml:space="preserve">Разработан чат-бот. Функционал: загрузка баз данных новых участников бухгалтерского бюджетного процесса, ознакомление с информацией для новых пользователей Сметы, выполнена работа по развёртыванию как модуль ГИС Смета ЯНАО. Подробнее: Rev01:
&gt; подключено СУБД (couchdb)
&gt; фиксируются новые пользователи при старте бота с унифицированной структурой, (т.е. новые пользователи могут менять роли)
&gt; добавлен интерфейс мандатных-пользователей
&gt; добавлен интерфейс Техподдержки
&gt; реализован обмен файлами
&gt; реализован функционал скрытия меню, обновления диалогов (MessageCleaner)
&gt; реализованы методы создания и обновления документов в БД
&gt; реализованы сценарии для пользователей групп: admin, users, mandatory, fargos
&gt; реализована точка входа для интеграции с ИИ (endpoint): чтение чатов и реагирование на сообщения
&gt; контейнеризация баз данных (docker)
&gt; FAQ
&gt; функционал для обновления бота</t>
  </si>
  <si>
    <t xml:space="preserve">разработан интерфейс для создания новых мандатных пользователей для тер.менеджеров (чат-бот)</t>
  </si>
  <si>
    <t xml:space="preserve">Выполнено тестирование функционала обмена ГИС Смета и ГИС Имущество с разнями типами пакетов</t>
  </si>
  <si>
    <t xml:space="preserve">Консультация пользователей ГИС Смета по работе функционала обмена данными с ГИС Имущество</t>
  </si>
  <si>
    <t xml:space="preserve">Разрабатываем единый механизм учета "Аренда жилищного фонда" для муниципалитетов,  начали отрабатывать данный механизм на базе МКУ "Городской центр имущественных и жилищных отношений". Ведутся работы по переносу остатков из разных программных продуктов (Смета и 1С БГУ, ГИС Жилфонд, Excel).</t>
  </si>
  <si>
    <t xml:space="preserve">Уведомления: разработан протокол  описание уведомлений по 30 документам</t>
  </si>
  <si>
    <t xml:space="preserve">Направлен отчёт "Импортонезависимое ПО"</t>
  </si>
  <si>
    <t xml:space="preserve">Настроено ЕОП на базах данных субъектов централизованного учёта</t>
  </si>
  <si>
    <t xml:space="preserve">Направлен и принят отчёт 3-информ РОССТАТ</t>
  </si>
  <si>
    <t xml:space="preserve">Успешно внедрён ЛК+ИИ с конфигураций синхронных запросов, распознавания на отчётах о расходах и модальным окном для опционального распознавания</t>
  </si>
  <si>
    <t xml:space="preserve">Проведен ВКС: внедрение уведомлений субъектами нецентрализованного учёта</t>
  </si>
  <si>
    <t xml:space="preserve">Выполнены настройки по новому документу в ГИС "СМЕТА ЯНАО": Исходящий счет бух.справка</t>
  </si>
  <si>
    <t xml:space="preserve">Подготовлены технические требования на реализацию функционала работы с документами между участниками разных баз данных Сметы</t>
  </si>
  <si>
    <t xml:space="preserve">Подготовлено ТЗ на интеграцию с ГИС Имущество</t>
  </si>
  <si>
    <t xml:space="preserve">Направлена первая редакция предварительного плана информатизации 2026, утверждено, включены мероприятия: Госфинансы, Росдормониторинг, Сопровождение, Интеграция с ГИС АПК </t>
  </si>
  <si>
    <t xml:space="preserve">Подготвлена 1-я редакция техтребований на выполнение работ по разивитию ГИС "Смета ЯНАО" в части кросс-подписания электронных документов между пользователями разных баз данных</t>
  </si>
  <si>
    <t xml:space="preserve">Направлено письмо в ДИТИС О рассмотрении вопроса о закупке программно-аппаратного комплекса для интеграции с ЕСИА</t>
  </si>
  <si>
    <t xml:space="preserve">Выполнена приёмка ГК: ППО</t>
  </si>
  <si>
    <t xml:space="preserve">Выполнена приёмка ГК: Наградной отдел</t>
  </si>
  <si>
    <t xml:space="preserve">Подготовлено ТЗ "Специфика хозопераций МУ-учреждений"</t>
  </si>
  <si>
    <t xml:space="preserve">Подготовлено ТЗ на оказание услуг по настройке функционала ГИС «Смета ЯНАО» под специфику хоз. операций МУ </t>
  </si>
  <si>
    <t xml:space="preserve">Разработан типовой шаблон ТЗ</t>
  </si>
  <si>
    <t xml:space="preserve">Проведена совместная с ГКУ "Ресурсы Ямала" работа по переходу на использование Smeta-координатора ViPNet для устранения ошибок подключения удалённых пользователей</t>
  </si>
  <si>
    <t xml:space="preserve">Подготовлено ТЗ для интеграции с ГИС Образования Ямала через витрину данных Образования для получения справок об обучении школьников (для льготного отпуска).</t>
  </si>
  <si>
    <t xml:space="preserve">Подготовлена служебная записка о вводе в эксплуатацию программного обеспечения для удалённого доступа</t>
  </si>
  <si>
    <t xml:space="preserve">Подготовлен Dashboard на основе BI-данных</t>
  </si>
  <si>
    <t xml:space="preserve">Направлен отчёт: Затраты на ПО и меры поддержки ИТ-проектов</t>
  </si>
  <si>
    <t xml:space="preserve">Проработаны вопросы и учтены предложения Исполнителя по ТЗ Росдормониторинг</t>
  </si>
  <si>
    <t xml:space="preserve">Подготовлены предложения по внедрению новых прикладных сервисов, основанных на использовании массивов больших данных</t>
  </si>
  <si>
    <t xml:space="preserve">Выполнена работа по поиску и устранению  причин неработоспособности ЛК-сервиса в связке с  модулем ИИ и системой мониторинга процессов. Добавлен функционал превентивного мониторинга посредством оповещения в чат-бот о проблемах с сервисами</t>
  </si>
  <si>
    <t xml:space="preserve">Сформирован и направлен отчет 3-информ</t>
  </si>
  <si>
    <t xml:space="preserve">Подготовлено письмо в депфин о содействии в присоединении к личному кабинету участника взаимодействия департамента финансов</t>
  </si>
  <si>
    <t xml:space="preserve">Подготовлено ТЗ по слиянию баз данных</t>
  </si>
  <si>
    <t xml:space="preserve">Разработана схема интеграции по направлению Смета-АПК в части подписания всех запросов квалифицированной электронной подписью </t>
  </si>
  <si>
    <t xml:space="preserve">Направлен отчёт: затраты на ПО и меры поддержки ИТ проектов</t>
  </si>
  <si>
    <t xml:space="preserve">Проведена работа по поиску и устранению ошибок сервиса telemost.yanao.ru. Работа сервиса восстановлена после изменения IP и включения паравиртуализации </t>
  </si>
  <si>
    <t xml:space="preserve">Проработана схема интеграции ГИС РЭБ ЯНАО (Исполнение) с ГИС "Смета ЯНАО" в части заявок на межбюджетный трансферт</t>
  </si>
  <si>
    <t xml:space="preserve">Подготовлена расширенная модель интеграции ГИС "РЭБ ЯНАО" и ГИС "Смета ЯНАО" в части межбюджетных трансфертов</t>
  </si>
  <si>
    <t xml:space="preserve"> </t>
  </si>
  <si>
    <t xml:space="preserve">Выполнены тестовые испытия промышленной ЕСИА, модифицирован код API-серверов, добавлены сертификаты удостостоверяющих центров</t>
  </si>
  <si>
    <t xml:space="preserve">ЕСИА: Выполнено кэширование закрытого ключа в КриптоПро</t>
  </si>
  <si>
    <t xml:space="preserve">ЕСИА: Выполнен контрольный тест сценариев ЛК: 1. Регистрация и авторизация не имеет значения, пользьзователь просто входит если есть права доступа на БД. 2. Обработка ислючительных ситуаций: Если пользователя нет ни в одной БД по СНИЛС, то сообщение об ошибке; Если пользователь найден в одной организации - автоматический вход; Если пользователь найден в нескольких организациях - выбор организации для входа</t>
  </si>
  <si>
    <t xml:space="preserve">ЕСИА: Модифицирован метод logout для отзыва сессии ЕСИА</t>
  </si>
  <si>
    <t xml:space="preserve">Направлен ежемесячный отчёт (Импортозамещение)</t>
  </si>
  <si>
    <t xml:space="preserve">Исправлены ошибки и протестирован импорт документов из РКС. На тестовой базе пока – у Якуты на проверке в части корректного отражения счетов </t>
  </si>
  <si>
    <t xml:space="preserve">Выполнена работа по анализу архитектуры защищённой сети в связи с поступающими сигналами: 1. Регулярная потеря связи у разработчика (Техфаргос) 2. Предстоящее экстенсивное программное порабощение 800+ учреждений в 25-26 годах. Данные рекомендации (1), сделать доступ к серверу приложений по TLS (2). Кроме этого, при новой схеме требуется переработать способ удалённого подключения разработчика к пользователям Сметы </t>
  </si>
  <si>
    <t xml:space="preserve">Проведена совместная работа отделом аудита по разработке новой версии положения о ГИС Смета ЯНАО</t>
  </si>
  <si>
    <t xml:space="preserve">Выполнена приёмка ГК на развитие ЛК</t>
  </si>
  <si>
    <t xml:space="preserve">Опытная эксплуатация нового функцоинала ЛК на БД ЦБ: работа над ошибками</t>
  </si>
  <si>
    <t xml:space="preserve">Проведена работа по поиску и устранению инцидентов доступности сервера авторизации ГИС Смета ЯНАО: найден конфликт сетевых адресов, исправлен способ взаимодействия узла Сметы и координаторов новых участников</t>
  </si>
  <si>
    <t xml:space="preserve">Проведено тестирование чат-бота (версия 1.2)</t>
  </si>
  <si>
    <t xml:space="preserve">Проведена работа по тестированию ИИ в smeta.yanao.ru: найдены ошибки устраняются в настоящее время, срок -  орфографические ошибки распознавания (если среднее качество ближе к 200dpi)
- логические ошибки, связанные с датами
- проблема связанная со с несколькими маршрутами в одной м. квитанции 2. 2. </t>
  </si>
  <si>
    <t xml:space="preserve">Департамент соцзащиты: Обнуление остатков на 01.01.2025 г. Консультации по внесению корректных остатков на 01.01.2025 г. и дальнейшей работы с ГИС Смета</t>
  </si>
  <si>
    <t xml:space="preserve">Уведомления – выполнена настройка и тестирование уведомлений для проездных документов, для 28 баз ИО. Частично выполнена настройка и тестирование уведомлений по документам 61н. Подготовлена  инструкця по добавлению чат бота для уведомлений.</t>
  </si>
  <si>
    <t xml:space="preserve">Настроена видимость по выплатам на карты МИР на базах данных субъектов централизованного учёта</t>
  </si>
  <si>
    <t xml:space="preserve">Обновлено хост-приложение и интерфейс для подписания КЭП в ЛК, а также функционал дорожной карты бизнес-процессов</t>
  </si>
  <si>
    <t xml:space="preserve">Реализован функционал "права настройщика". Функционал позволяет наиболее гибко и оперативно отлаживать настройки документооборота</t>
  </si>
  <si>
    <t xml:space="preserve">Настроены уведомления по 10 документам 61н на 29 бд</t>
  </si>
  <si>
    <t xml:space="preserve">Подготовлена инструкция для специалистов учреждений МО и ОУ по созданию и отправке Уведомлений МБТ разослана сотрудникам отдела Поставщиков</t>
  </si>
  <si>
    <t xml:space="preserve">Подготовлено ТЗ на прямые выплаты</t>
  </si>
  <si>
    <t xml:space="preserve">Подготовлены технические требования на реализацию функционала самоадминистрирования участниками Сметы</t>
  </si>
  <si>
    <t xml:space="preserve">Разработана архитектура приложения для удалённого доступа. Подключена база данных, функционирует REST API-сервис для авторизации, подтвеждения одноразового кода. отправленного на email (@yanao.ru), функция создания виртуальных машин с установленными параметрами (на базе РЕД ОС), пробросами портов (на базе noVNC)</t>
  </si>
  <si>
    <t xml:space="preserve">Разработана приложения для удалённого доступа. Завершение работы над минимально-жизнеспособным продуктом (MVP)</t>
  </si>
  <si>
    <t xml:space="preserve">Приложение для удаленного доступа развернуто В РМТКС ЯНАО по доменному имени. Соблдены требования информационной безопасности (внешние). Запущена тестовая эксплуатация</t>
  </si>
  <si>
    <t xml:space="preserve">Внесены изменения в план информатизации 2025</t>
  </si>
  <si>
    <t xml:space="preserve">telemost.yanao.ru: доступ предоставлен для НПО Криста</t>
  </si>
  <si>
    <t xml:space="preserve">Выполнил подготовку документов в Роспатент</t>
  </si>
  <si>
    <t xml:space="preserve">Разработан скрипт отчёта включения/выключения рабочих мест</t>
  </si>
  <si>
    <t xml:space="preserve">Устранены ошибки в ЛК-сервисе в части умного распознавания электронных документов</t>
  </si>
  <si>
    <t xml:space="preserve">Подготовлен вариант регламента взаимодействия участников (из числа МО, МКУ, ГКУ) в рамках оказания технической поддержки</t>
  </si>
  <si>
    <t xml:space="preserve">Подготовлен свод замечаний по удобству пользвания UX ЛК</t>
  </si>
  <si>
    <t xml:space="preserve">Проведены работы по обновлению сервера telemost.yanao.ru. Продолжается работа по устранению последствий</t>
  </si>
  <si>
    <t xml:space="preserve">Сформулированы и направлены функциональные требования для изменения способа взаимодействия клиентов и серверов приложений в рамках развития технологии TLS Gateway относительно ГИС "Смета ЯНАО"</t>
  </si>
  <si>
    <t xml:space="preserve">Устранение уязвимостей серверного вспомогательного программного обеспечения ВМ OPT</t>
  </si>
  <si>
    <t xml:space="preserve">Направлена заявка на промышленную ЕСИА; совместно с отделом информационной безопасности проведена работа по взаимодействию с НИИ "Восход" и Ростелеком</t>
  </si>
  <si>
    <t xml:space="preserve">Проведена работа по обновлению схемы топологии ЯНАО: уточнялись каналы взаимодействия, маршруты прохождения данных, состав систем и сервисов. Результатом стала обновлённая актуализированная схема с учетом текущей архитектуры и взаимодействующих контуров.</t>
  </si>
  <si>
    <t xml:space="preserve">Проведена работа по актуализации таблиц Excel с выборками органов и учреждений по направлению ЕСКУ. Проведена сверка списков, выявлены отсутствующие, новые и дублирующиеся записи. В результате был подготовлен максимально актуальный список учреждений для дальнейшей работы и сопоставления данных</t>
  </si>
  <si>
    <t xml:space="preserve">Проведено зондирование вопроса подключения уведомлений в чат-бот "Бухагалтер Света" (Среда) от функционала ЭДО "Отчётность" (Астрал). Выявлены ключевые точки роста, оценена рентабельность мероприятия (Не рентабельно)</t>
  </si>
  <si>
    <t xml:space="preserve">ЕСИА: Разработаны синтетические тесты для определения пределов нагрузки сервиса авторизации при использовании в ЛК с целью предиктивного наращивания</t>
  </si>
  <si>
    <t xml:space="preserve">ЕСИА: Выполнено централизованное сканирование на уязвимости серверного программного обеспечения узлов: Surgate-шлюз, сервер ЛК, ЕСИА-Адаптер</t>
  </si>
  <si>
    <t xml:space="preserve">ЕСИА: уязвимости устранены</t>
  </si>
  <si>
    <t xml:space="preserve">Направлено письмо в Минцифры России с запросом о ходе исполнения заявки</t>
  </si>
  <si>
    <t xml:space="preserve">Выполнена настройка по всем базам нового типа документа – Закрытие периода</t>
  </si>
  <si>
    <t xml:space="preserve">Выявлены условия и определён способ интеграции Смета-ЕСИА. Требуется включить в ПИ25 и бюджетную смету закупку лицензий на ПО КриптоПро</t>
  </si>
  <si>
    <t xml:space="preserve">Направлены изменения ППИ25 (СКЗИ для ЕСИА). Изменения приняты</t>
  </si>
  <si>
    <t xml:space="preserve">Участие в ВКС по РИС:Информатизация</t>
  </si>
  <si>
    <t xml:space="preserve">Проведена работа по устранению последствий повреждения баз данных</t>
  </si>
  <si>
    <t xml:space="preserve">Актуализирована структура, информация по сотрудникам и размещена инструкция на сайте учреждения согласно новому штатному расписанию. </t>
  </si>
  <si>
    <t xml:space="preserve">Проведена подготовка к переносу баз данных по ЗП учреждений здравоохранения. Разделение едниной базы на множество по учреждениям</t>
  </si>
  <si>
    <t xml:space="preserve">Подготовлена диаграмма по исполнительской дисциплине (февраль 2025, год 2024) улучшена диаграмма по звонкам (февраль 2025). В работе заявки по корректировке отчета «Нагрузка бухгалтера»</t>
  </si>
  <si>
    <t xml:space="preserve">Донастроен запрос безвозмездной передачи от одного балансодержателю к другому из потребности учреждений (ГКУ)</t>
  </si>
  <si>
    <t xml:space="preserve">Проведно успешное тестирование подписания и отправки в одном платёжном поручении множественной детализации</t>
  </si>
  <si>
    <t xml:space="preserve">произведена замена пары открытого-закрытого ключа обезличенный КЭП на сервере ADGATE "Администрирование доходов"</t>
  </si>
  <si>
    <t xml:space="preserve">Анализ формирования пакетов с типом «Отчет об имуществе» в Государственных учреждениях для дальнейшей отправки в ГИС Имущество. Консультации в исправлении ошибок учета ОС и помощь в написании заявок в Фаргус и НПО Криста. Тестовая выгрузка совместно с сотрудниками Департамента Имущества</t>
  </si>
  <si>
    <t xml:space="preserve">Выполнена проверка работоспособности интеграции Сметы и РКС в части объектов малой закупки (до 600 тыс)</t>
  </si>
  <si>
    <t xml:space="preserve">Выполнены работы по апробации нового функционала отправки отчётности в федеральные органы. Опытным путём выявлены требования к КЭП, способах формирования МЧД и иных условиях, необходимых для корректного формирования исходящих пакетов данных. Проведена работа по созданию и портированию МЧД и учётных записей, сопровождению бизнес-процесса</t>
  </si>
  <si>
    <t xml:space="preserve">Внедрён функционал распознавания электронных проездных документов на базе искусственного интеллекта. Распознаванию подлежат: авиа и жд-билеты, гостиницы. Выполнены предварительные нагрузочные испытания сервиса, подключена языковая модель, установленная и настроенная на базе ГКУ Ресурсы Ямала в виде GPU-мощностей, проведена работа по коммуникации с коллегами из ДИТИСа и ГКУ Ресурсы Ямала, устранены критические ошибки распознавания сервиса, проведён анализ удобства пользования (Usability), работы по повышению качества продолжаются. </t>
  </si>
  <si>
    <t xml:space="preserve">Подготовлено и согласовано ТЗ на интеграцию с ЕСКУ</t>
  </si>
  <si>
    <t xml:space="preserve">Разработана концепция по оценке качества работы ИИ, выраженной в виде бизнес-требований, а также форматах взаимодействия ИС (json)</t>
  </si>
  <si>
    <t xml:space="preserve">Витрина данных. ГИС Образование со Сметой (получение справок об обучении): направлена заявка на присоединение к СМЭВ, разработана схема взаимодействия</t>
  </si>
  <si>
    <t xml:space="preserve">Развернут инструмент для применения новых концепций распознвания ИИ электронных документов.</t>
  </si>
  <si>
    <t xml:space="preserve">Проведено обучение Техфаргас (telemost.yanao.ru)</t>
  </si>
  <si>
    <t xml:space="preserve">telemost.yanao.ru исправлен функционал, многократно увеличено быстродействие</t>
  </si>
  <si>
    <t xml:space="preserve">Собственными силами развёрнут стенд и программное обеспечение "Адаптер Инфраструктуры" для интеграции с ЕСИА.Провена проверка работоспособности всех модулей. Приступаем к тестирования непосредственно подключения к ЕСИА</t>
  </si>
  <si>
    <t xml:space="preserve">Подготовлено и согласовано ТЗ по интеграции ГИС "Смета ЯНАО" и РСЭД ЯНАО</t>
  </si>
  <si>
    <t xml:space="preserve">Направлен и согласован предварительный проект плана информатизации 2027</t>
  </si>
  <si>
    <t xml:space="preserve">Выполнена работа по развитию автоматизации бизнес-процесса межбюджетных трансфертов: Проведены переговоры, исследования, согласование новой схемы взаимодействия, найден консенсус, который не позволит вносить изменения в документ-основание (заявку на МБТ) в случае создания расчёта по нему. Также, подготовлена система статусов для Исполнения бюджета и обновлена BPMN-схема "как должно быть"</t>
  </si>
  <si>
    <t xml:space="preserve">Выполнена работа по развитию автоматизации бизнес-процесса межбюджетных трансфертов: Подготовлена BPMN-схема "как есть сейчас", а также описан бизнес-процесс в деталях «как должно быть» на стороне ГИС "Смета ЯНАО". Подготовлены функциональные требования</t>
  </si>
  <si>
    <t xml:space="preserve">Включен механизм журналирования входящих запросов для тела запроса с полезной нагрузкой - пользовательскими данными в рамках интеграции с АИС Жилфонд. Это позволит быстро обращаться к журналам отправленных в Смету данны ретроспективно для разрешения спорных ситуаций в рамках интеграции</t>
  </si>
  <si>
    <t xml:space="preserve">Выполноно обновление промежуточного программного обеспечения Surgate для подключения к ЕСИА подсистемы формирования и обработки электронных документов (smeta.yanao.ru)</t>
  </si>
  <si>
    <t xml:space="preserve">ЕСИА: синтетические тесты выполнены:  сервис готов к эксплуатации - не менее Х пользователей одновременно</t>
  </si>
  <si>
    <t xml:space="preserve">ВКС с Кристой по интеграции с Тезисом???</t>
  </si>
  <si>
    <t xml:space="preserve">Подготовлено ТЗ на двухэтапный ГК по развитию искусственного интеллекта</t>
  </si>
  <si>
    <t xml:space="preserve">Настроено во всех БД подписание бух. справок для документов: Поступление забаланс
Выбытие НФА
Поступление НФА
Перемещение НФА
Начисление амортизаций
Переоценка НФА
Модернизация НФА
Выбытие забаланс
Входящий счет</t>
  </si>
  <si>
    <t xml:space="preserve">Актуализированы должности сотрудников ЦБ в базах данных исполнительных органов (12)</t>
  </si>
  <si>
    <t xml:space="preserve">Актуализированы должности сотрудников ЦБ в базах данных исполнительных органов (16)</t>
  </si>
  <si>
    <t xml:space="preserve">Подготовлен и заполнен ПИ25 в новой ИС (РКС)</t>
  </si>
  <si>
    <t xml:space="preserve">Настроена и успешно протестирована на департаменте Госжизнадзора схема Уведомлений по МБТ от МУ к утверждению ОУ и принятию к учету ЦБ</t>
  </si>
  <si>
    <t xml:space="preserve">Проведно тестирование подключения к Смете через TLS-шлюз: найдены ошибки, возникающие теперь периодически. Анализ ошибки требует дополнительных инцидентов, соответствующая работа проводится по настоящее время</t>
  </si>
  <si>
    <t xml:space="preserve">Получены базы данных субъектов централизованного учёта здравоохранения ЯНАО: 16 баз данных бухгалтерий, 10 баз данных заработной платы. Проведены консультации с ключевыми сотрудниками здравоохранения ЯНАО (Дирекция) по выверке остатков после миграции данных.</t>
  </si>
  <si>
    <t xml:space="preserve">Произведена инсталляция ViPNet + dst на сервер интеграции с ЕСИА (smeta.yanao.ru)</t>
  </si>
  <si>
    <t xml:space="preserve">Отчёт по импортозамещению</t>
  </si>
  <si>
    <t xml:space="preserve">Проведена работа по актуализации ТЗ, направленного на автоматизацию наградного отдела аппарата Губернатора ЯНАО</t>
  </si>
  <si>
    <t xml:space="preserve">Сформированы технические требования на реализацию интеграции ТЕЗИС и Сметы в 2026 году</t>
  </si>
  <si>
    <t xml:space="preserve">Проведена работа по переформированию МЧД для ФНС функционала ГИС "Смета ЯНАО" "Внеший ЭДО" (Астрал) для своевременного и корректного получения уведомлений из налогового органа, подписано доверенностей - 24 из 27, в работе - 2 (ДИТИС, ГПД, ДГЗиПБ), работа продолжается; направлено письмо о новом функционале в исполительные органы, подготовлена памятка для работы пользователей; другие направления ЭДО (СФР, Росстат) включены и функционируют в штатном режиме, ошибки устраняются по факту их возникновения в ручном режиме</t>
  </si>
  <si>
    <t xml:space="preserve">Подготовлены схемы в нотации bpm для мероприятий по развитию ГИС Смета ЯНАО в 2026 году (ИнтТезис, Витрина образования, Росдормониторинг,Метрики, АПК)</t>
  </si>
  <si>
    <t xml:space="preserve">Инвентаризированы оферты подключения к ГИС "Смета ЯНАО" муниципальных учреждений в ЯНАО, оферт собрано - 750</t>
  </si>
  <si>
    <t xml:space="preserve">Подготовлено ТЗ по интеграции Смета+Тезис</t>
  </si>
  <si>
    <t xml:space="preserve">Проведена работа по сбору актов должников по итеграции ГИС "Смета ЯНАО" и ГИС "ЕСКУ ЯНАО", собрано - Х ед</t>
  </si>
  <si>
    <t xml:space="preserve">ЕСИА: Реализованы методы logout на уровне сессий приложения</t>
  </si>
  <si>
    <t xml:space="preserve">ЕСИА: на уровне ЛК реализован метод logout, добавлен косметический-preloader</t>
  </si>
  <si>
    <t xml:space="preserve">Предварительный план инфорпматизации размещен в системе rks.yanao.ru</t>
  </si>
  <si>
    <t xml:space="preserve">Проработан вопрос использования TLS Gateway в РМТКС по алгоритмам RSA/GOST3410. Требуется доработка клиентского ПО. Релиз запланирован на 05.12.24</t>
  </si>
  <si>
    <t xml:space="preserve">Проведена работа по проектированию аппаратных мощностей на 2025-2026 годы для обеспечения работоспособности Сметы в условиях приращения числа пользователей + заключено соглашение</t>
  </si>
  <si>
    <t xml:space="preserve">Подготовлена видео-инструкция для подготовки архивов и их загрузки в чат-Бот, инструкция опубликована на сайте учреждения.</t>
  </si>
  <si>
    <t xml:space="preserve">Проведено тестирование нового функционала «Выгрузка имущества» с типом пакета «Передача имущества». Найдены ошибки. Направлены разработчику</t>
  </si>
  <si>
    <t xml:space="preserve">направлено в исполнительные органы письмо о настройке в базах всплывающих уведомлений</t>
  </si>
  <si>
    <t xml:space="preserve">Настроен ЭД Табель ежедневный на БД ЦБ ОГВ. Функционал масштабируем, передан в техподдержку для распространения на подключениях Здравоохранения</t>
  </si>
  <si>
    <t xml:space="preserve">Разработан сервис аналитики для оценки эффективности работы с заявками, телефонных звонков</t>
  </si>
  <si>
    <t xml:space="preserve">Сервис аналитики для оценки эффективности работы с заявками, телефонных звонков: применение ИИ для категоризирования данных; с помощью ИИ из всего валового объёма заявок с 01.01.2025 года выявлены ТОП-5 направлений: интеграции (25%), интерфейс(17%), доступ (14%), настройки (10%), нет нужного функционала (10%). По телефонным звонкам: самые длинные разговоры, наибольшее/наименьшее количество звонков, пропущенные и т.д. Более подробно: https://websmeta.yanao.ru/static. </t>
  </si>
  <si>
    <t xml:space="preserve">Подготовлен  сводный отчёт (срез) по каждому МО с указанием учреждений, перешедших, но не осуществляющих ведение учёта в ГИС Смета ЯНАО</t>
  </si>
  <si>
    <t xml:space="preserve">Подготовлена типовая дорожная карта мероприятий по развитию ГИС "Смета ЯНАО"</t>
  </si>
  <si>
    <t xml:space="preserve">Инвентаризированы оферты подключения к ГИС "Смета ЯНАО" государственных учреждений в ЯНАО: оферт в наличии 48, ожидаем - 8; нет оферт - 25 (Здрав), 9 (Ликвидировано учреждений). Всего изначально - 90</t>
  </si>
  <si>
    <t xml:space="preserve">Проведено обучения (3 дня) для бухгалтеров муниципальных учреждений в ЯНАО по направлению: создание, подписание и закрытие платёжных поручений в ГИС "Смета ЯНАО"</t>
  </si>
  <si>
    <t xml:space="preserve">ЕСИА: выполнено бэкап-копирование шлюза Surgate (Моноблок)</t>
  </si>
  <si>
    <t xml:space="preserve">Проведен анализ и выявлен наилучший способ для удалённого доступа разработчика к пользователям Сметы (в условиях отказа от массового отказа от ViPNet Client в РМТКС)</t>
  </si>
  <si>
    <t xml:space="preserve">Направлен отчёт: импортозамещение A(ФГИСКИ)</t>
  </si>
  <si>
    <t xml:space="preserve">Проведён анализ формирования пакетов с типом «Отчет об имуществе» в государственных учреждениях для дальнейшей отправки в ГИС Имущество. Найдены ошибки, направлены разработчику.  </t>
  </si>
  <si>
    <t xml:space="preserve">Направлены изменения в ПИ25 в части мероприятий по информатизации: ППО, Миграция дополнительных баз данных учреждений (которые раньше были запланированы на 2026 год), Техподдержа дополнительных баз данных, реализация функционала под специфику хоз.операция некоторых муниципальных учреждений. Подготовлены финансово-экономические обоснования. Все изменения согласованы</t>
  </si>
  <si>
    <t xml:space="preserve">Подготовлено ТЗ для интеграции с Росдормониторинг</t>
  </si>
  <si>
    <t xml:space="preserve">Проведено обучение администраторов Сметы на тему настройки платёжных поручений в базах данных пользователей всех муниципальных учреждений в ЯНАО</t>
  </si>
  <si>
    <t xml:space="preserve">Выполнен срез используемого функционала платёжных поручений в ГИС "Смета ЯНАО" из числа, прошедших обучение, с фокусом: платёжные поручения, прямые выплаты</t>
  </si>
  <si>
    <t xml:space="preserve">ТЗ по интеграции Сметы и РСЭД Тезис иправлено с учетом замечаний ДИТиС и направленно на конкурсные закупки служебной запиской в РСЭД Тезис </t>
  </si>
  <si>
    <t xml:space="preserve">Участие в ВКС (Техподдержка)</t>
  </si>
  <si>
    <t xml:space="preserve">Направлен отчёт: затраты на ПО и меры поддержки ИТ-проектов</t>
  </si>
  <si>
    <t xml:space="preserve">Обновлены инструкции в базе знаний</t>
  </si>
  <si>
    <t xml:space="preserve">Внедрён в тестовую эксплуатацию механизм подключения к Смете без ViPNet Client через TLS Gateway в РМТКС по алгоритмам RSA/GOST3410.  </t>
  </si>
  <si>
    <t xml:space="preserve">Сбор заявок (некорректности функционала версии клиента:linux64—7725.4-хх), регистрация в НПО Криста и отслеживание</t>
  </si>
  <si>
    <t xml:space="preserve">Консультации пользователей (Дирекция по финансированию и материально-техническому обеспечению учреждений в сфере здравоохранения) по работе в ГИС Смета, совместная работа с пользователями по выверке остатков, внесению документов в систему и т.п.</t>
  </si>
  <si>
    <t xml:space="preserve">Проверены концепции (в рамкха OKR26) внедрения ИИ по направлениям: Справочники НФА, бот-консультант на базе ИИ</t>
  </si>
  <si>
    <t xml:space="preserve">Проведена работа по обновлению инструкции по применению электронных документов ОКУД 0510521 «Заявка-обоснование закупки товаров, работ, услуг малого объема через подотчетное лицо (ф. 0510521)</t>
  </si>
  <si>
    <t xml:space="preserve">Подготовлено и согласовано ТЗ: Интеграция АПК</t>
  </si>
  <si>
    <t xml:space="preserve">ЕСИА: Выполнена инсталляция антивирусной защиты на шлюз Surgate, исключены ошибки, препятствующие работоспособности шлюза</t>
  </si>
  <si>
    <t xml:space="preserve">Проведен ВКС с департаментом агропромышленного комплекса ЯНАО по вопросам интеграции</t>
  </si>
  <si>
    <t xml:space="preserve">Выполнены работы по настройке индивидуального квотирования загружаемых файлов для разных типов (видов) документов. Сообщаю Вам о наличии технической возможности прикреплять файлы (вложения) большого размера. Индивидуальная настройка действует в отношении ОКУД: 0504833 (бух.справка), 0504512/517/520 (отчёт о расходах, РОКи) и распространена на все базы данных ГИС Смета ЯНАО.</t>
  </si>
  <si>
    <t xml:space="preserve">Проведена приёмка ГК: уведомления, ИИ</t>
  </si>
  <si>
    <t xml:space="preserve">Подготовка к переносу остатков ЯМАЛСПАС на 01.01.2025, при смене формы организации юридического лица</t>
  </si>
  <si>
    <t xml:space="preserve">Сформулированы требования и разработан отчёт использования функционала ГИС "Смета ЯНАО" в части работы с первичными платёжными документами. Отчёт отражает точки роста и акцентирует внимание на базах данных, в которые платёжные первичные документы импортируются из Исполненеия бюджета</t>
  </si>
  <si>
    <t xml:space="preserve">Проведена актуализация доступов в ГБУ «Дирекция ООПТ ЯНАО», ГКУ «Служба по охране биоресурсов ЯНАО», ГУ «Леса Ямала», ГАУ «Центр изучения Арктики»</t>
  </si>
  <si>
    <t xml:space="preserve">Подготовлено и согласовано ТЗ по мероприятию: Оказание услуг по настройке в ГИС «Смета ЯНАО» функционала в части учета, начисления и расчетов по плате, которую родители (законные представители) ежемесячно платят дошкольной образовательной организации за присмотр и уход за ребёнком (далее – родительская плата), компенсационных выплат по родительской плате, а также учет расчетов по платным услугам образовательных учреждений</t>
  </si>
  <si>
    <t xml:space="preserve">Проведены испатания ОКУД 0504805 (Извещение), функционал "Кросс-подписание" на примере: Департамента строительства и жилищной политики ЯНАО и дирекции капительного строительства и инвестиций ЯНАО</t>
  </si>
  <si>
    <t xml:space="preserve">СВОДНЫЙ ОТЧЁТ О ПРОДЕЛАННОЙ РАБОТЕ ЗА ИЮНЬ 2026</t>
  </si>
  <si>
    <t xml:space="preserve">Отдел сопровождения, развития информационных систем и технической поддержки государственных и муниципальных учреждений</t>
  </si>
  <si>
    <t xml:space="preserve">Ставер А.П.</t>
  </si>
  <si>
    <t xml:space="preserve">Сапогов М.Д.</t>
  </si>
  <si>
    <t xml:space="preserve">Обмолова В.В.</t>
  </si>
  <si>
    <t xml:space="preserve">Роганова А.А.</t>
  </si>
  <si>
    <t xml:space="preserve">Гасанов С.Н.</t>
  </si>
  <si>
    <t xml:space="preserve">Кошик В.Н.</t>
  </si>
  <si>
    <t xml:space="preserve">Худышкин С.Н.</t>
  </si>
  <si>
    <t xml:space="preserve">Мулявин Я.В.</t>
  </si>
  <si>
    <t xml:space="preserve">Актуализировано и направлено на согласование ТЗ на выполнение работ по интеграции с РСЭД Тезис с учетом замечаний от ДИТиС.</t>
  </si>
  <si>
    <t xml:space="preserve">Работа по размещению предварительного ПИ на 2027 год</t>
  </si>
  <si>
    <t xml:space="preserve">Работа по акутализаци заявки на получение прав на ИИ</t>
  </si>
  <si>
    <t xml:space="preserve">Аналитическая информация по телефонным консультациям, отдел СРТП</t>
  </si>
  <si>
    <t>Месяц</t>
  </si>
  <si>
    <t xml:space="preserve">Количество звонков, отдел   (входящие и исходящие)</t>
  </si>
  <si>
    <t>Ставер</t>
  </si>
  <si>
    <t>Сапогов</t>
  </si>
  <si>
    <t>Чечеткин</t>
  </si>
  <si>
    <t>Роганова</t>
  </si>
  <si>
    <t>Обмолова</t>
  </si>
  <si>
    <t>Кошик</t>
  </si>
  <si>
    <t>Гасанов</t>
  </si>
  <si>
    <t>Мулявин</t>
  </si>
  <si>
    <t>Худышкин</t>
  </si>
  <si>
    <t xml:space="preserve">октябрь 2023</t>
  </si>
  <si>
    <t xml:space="preserve">декабрь 2023</t>
  </si>
  <si>
    <t xml:space="preserve">январь 2024</t>
  </si>
  <si>
    <t xml:space="preserve">февраль 2024</t>
  </si>
  <si>
    <t xml:space="preserve">март 2024</t>
  </si>
  <si>
    <t xml:space="preserve">апрель 2024</t>
  </si>
  <si>
    <t xml:space="preserve">май, 2024</t>
  </si>
  <si>
    <t xml:space="preserve">июнь, 2024</t>
  </si>
  <si>
    <t xml:space="preserve">июль, 2024</t>
  </si>
  <si>
    <t xml:space="preserve">август, 2024</t>
  </si>
  <si>
    <t xml:space="preserve">сентябрь, 2024</t>
  </si>
  <si>
    <t xml:space="preserve">октябрь, 2024</t>
  </si>
  <si>
    <t xml:space="preserve">ноябрь, 2024</t>
  </si>
  <si>
    <t xml:space="preserve">декабрь 2024</t>
  </si>
  <si>
    <t xml:space="preserve">январь, 2025</t>
  </si>
  <si>
    <t xml:space="preserve">февраль 2025</t>
  </si>
  <si>
    <t xml:space="preserve">март, 2025</t>
  </si>
  <si>
    <t xml:space="preserve">апрель, 2025</t>
  </si>
  <si>
    <t xml:space="preserve">май, 2025</t>
  </si>
  <si>
    <t xml:space="preserve">июнь, 2025</t>
  </si>
  <si>
    <t xml:space="preserve">июль, 2025</t>
  </si>
  <si>
    <t xml:space="preserve">август, 2025</t>
  </si>
  <si>
    <t xml:space="preserve">сентябрь, 2025</t>
  </si>
  <si>
    <t xml:space="preserve">Октябрь, 2025</t>
  </si>
  <si>
    <t xml:space="preserve">Ноябрь, 2025</t>
  </si>
  <si>
    <t xml:space="preserve">Январь, 2026</t>
  </si>
  <si>
    <t xml:space="preserve">Февраль, 2026</t>
  </si>
  <si>
    <t xml:space="preserve">Март, 2026</t>
  </si>
  <si>
    <t xml:space="preserve">Апрель, 2026</t>
  </si>
  <si>
    <t xml:space="preserve">Май, 2026</t>
  </si>
  <si>
    <t xml:space="preserve">Июнь, 2026</t>
  </si>
  <si>
    <t xml:space="preserve">Июль, 2026</t>
  </si>
  <si>
    <t xml:space="preserve">Август, 2026</t>
  </si>
  <si>
    <t xml:space="preserve">Сентябрь, 2026</t>
  </si>
  <si>
    <t>Исполнитель</t>
  </si>
  <si>
    <t xml:space="preserve">Текущие задачи</t>
  </si>
  <si>
    <t xml:space="preserve">Работа с заявками</t>
  </si>
  <si>
    <t xml:space="preserve">1. Подготовил изменения в Положение о ГИС "Смета ЯНАО"
2. Актуализировал пакет документов (заявка) на регистрацию модуля ИИ в Роспатент. Заявка рассмотрена положительно, модуль (программа) внесено в реестр программ для ЭВМ. 
3. Скорректировал предварительный ПИ на 2027 год. Предварительно согласован ДИТиС.
4. Скорректировал ПИ на 2026 год, согласован ДИТиС.
5. Принял участие в актуализации списков организаций (муниципальных и окружных)
6. Направил ежемесячные отчеты по аудиту ПО и импортзамещению в ДИТиС (через депфин).
7. Актуализировал и направил на согласование ТЗ по администрированию Сметы
8. Подготовил новость (не публиковали еще) для работников органов власти об использовании приложения для агрегации сформированных отчетов об отпуске или командировке.
9. Подготовил письмо в РЦОКО для взаимодействия с ГИС «Ямал Образование» через СМЭВ.</t>
  </si>
  <si>
    <t xml:space="preserve">Исполнено резолюций - 9, направлено заявок в службу технической поддержки - 8 (Смета)</t>
  </si>
  <si>
    <t xml:space="preserve">1. Завершена проработка перехода на «Астрал»: подготовлены итоговые материалы и дорожная карта, уточнены вопросы с НПО «Криста», задача закрыта в РСЭД «ТЕЗИС».
2. Разработан Excel-парсер на Python для автоматической обработки и агрегации отчётных данных. Приложение протестировано на Windows и RedOS 7.3/8, подготовлена версия для распространения пользователям, а также инструкции по работе, в том числе пошаговая инструкция со скриншотами.
3. Развернут и настроен тестовый агент СМЭВ4: проверено подключение к брокерам и выполнение запросов. При тестировании доступа к витрине выявлено отсутствие необходимых прав, организовано взаимодействие с РЦОКО для их предоставления.
4. Проведена работа по применению ИИ для распознавания документов: протестирован Extraction Studio, изучено взаимодействие через Swagger API и проработан Python-контур для автоматического распознавания и извлечения данных из документов.
5. Продолжена работа по ЕСКУ: обработка обращений и ошибок, анализ выгрузок и показателей дашбордов FIN_04 и аппарата, а также собственной выгрузки за двухмесячный период. По выявленным проблемам направлялись обращения и проверялись результаты исправлений.
6. Разработан бот для автоматизации уведомлений о паролях для отдела информационной безопасности.</t>
  </si>
  <si>
    <t xml:space="preserve">Направлено заявок в службу технической поддержки - 8 заявок</t>
  </si>
  <si>
    <t xml:space="preserve">1. Аудит по использованию Сметы и подготовка общего свода (Надымский р-н - 77, Губкинский - 47, Салехард - 57, Пуровский р-н - 64).
2. Сбор недостающих оферт по ГУ и МО - 2.
3. Написано инструкций и выложено на сайт ЦБ ОГВ - 3.
4. Настройка ЭДО Астрал для Департамента тарифной политики - 1.
5. Оформлено МЧД в ФНС, Росстат для Департамента тарифной политики - 6.
6. Внедрение и отработка механизма кроссподписания при передаче имущества из муниципального в региональный бюджет (ф.0510448, ф.0504805) - Пуровский р-н - 1
7. Подготовка свода по работе МО с документами 61н. - 1
8. Заявки / обращения от МО через чаты и по телефону &gt;= 100.
9. Взаимодействие с представителями подрядчиков (Fargos, Krista) по централизации Сметы в рабочих чатах MAX.</t>
  </si>
  <si>
    <t xml:space="preserve">Направлено заявок в службу технической поддержки - 2</t>
  </si>
  <si>
    <t xml:space="preserve">1. Консультирование и техническая поддержка муниципальных образований по вопросам подключения, настройки и эксплуатации централизованной ГИС «Смета ЯНАО». Анализ используемых настроек и функционала, выявление участков, требующих дополнительной настройки или консультационного сопровождения. 
2. Проведение аудита баз муниципальных образований на предмет   использования функциональных возможностей, предусмотренных ГИС «Смета  ЯНАО».
3. Работа с учреждениями и ответственными специалистами:
Сбор, проверка и актуализация контактных данных ответственных лиц  учреждений, кадровых работников и специалистов бухгалтерских служб.
Оповещение учреждений о необходимости проведения сопоставления  справочников в ГИС ЕСКУ и ГИС «Смета ЯНАО». Консультирование кадровых  работников и бухгалтеров по вопросам подготовки данных и организации  интеграционного взаимодействия.
4. Координация действий учреждений при возникновении вопросов и ошибок в  процессе обмена данными между информационными системами.
5. Консультирование и настройка функционала, связанного с перечислением  денежных средств на карты платёжной системы «Мир» в базах муниципальных  образований.</t>
  </si>
  <si>
    <t xml:space="preserve">Направлено заявок в службу технической поддержки - 3</t>
  </si>
  <si>
    <t xml:space="preserve">1. Приказы на доступ ОУ - 6
2. Оферты по МБТ - 5
3. Приказы ЦБ на доступ - 5
4. Замещение с 02.09 по 06.09 Начальника отдела и Ведущих специалистов отдела
5. Исправление ошибок ГИС "ГМП" после смены реквизитов Казначейства
6. Работа по подписанию между базами ф.0504805 05104548</t>
  </si>
  <si>
    <t xml:space="preserve">Направлено заявок в службу технической поддержки - 20</t>
  </si>
  <si>
    <t xml:space="preserve">до 11.09 находился в отпуске, Акутализация сдений в "Реестр Оферт"
Взаимодействие с представителями подрядчиков (Fargos, Krista) по заявочным вопросам Сметы в рабочих чатах МАКС.
Консультация / тех. поддержка / маршрутизация заявок муниципалитетов (ГИС ГМП, МИР, ПП).</t>
  </si>
  <si>
    <t xml:space="preserve">Направлено заявок в службу технической поддержки - 1</t>
  </si>
  <si>
    <t xml:space="preserve">1. Обработано приказов на временное / постоянное распределения обязанностей сотрудников ЦБ в Смете - 7 шт.
2. Обработано заявлений о присоединении (Оферта) - 2 шт.
3. Обработано приказов о предоставлении доступа к ГИС Смета (ИОГВ) - 5 шт.</t>
  </si>
  <si>
    <t xml:space="preserve">Направлено заявок в службу технической поддержки - 5</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</si>
</sst>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0" formatCode="mmm/yy"/>
  </numFmts>
  <fonts count="42">
    <font>
      <sz val="11.000000"/>
      <color theme="1"/>
      <name val="Calibri"/>
    </font>
    <font>
      <sz val="10.000000"/>
      <name val="Arial"/>
    </font>
    <font>
      <sz val="14.000000"/>
      <color theme="1"/>
      <name val="Arial"/>
    </font>
    <font>
      <sz val="10.000000"/>
      <color theme="1"/>
      <name val="Arial"/>
    </font>
    <font>
      <sz val="16.000000"/>
      <color theme="0"/>
      <name val="Arial"/>
    </font>
    <font>
      <sz val="16.000000"/>
      <name val="Arial"/>
    </font>
    <font>
      <sz val="12.000000"/>
      <color theme="0"/>
      <name val="Arial"/>
    </font>
    <font>
      <sz val="8.000000"/>
      <color theme="0"/>
      <name val="Arial"/>
    </font>
    <font>
      <sz val="8.000000"/>
      <name val="Arial"/>
    </font>
    <font>
      <sz val="8.000000"/>
      <color theme="1"/>
      <name val="Arial"/>
    </font>
    <font>
      <sz val="8.000000"/>
      <color theme="1"/>
      <name val="Calibri"/>
    </font>
    <font>
      <strike/>
      <sz val="8.000000"/>
      <name val="Arial"/>
    </font>
    <font>
      <b/>
      <strike/>
      <sz val="8.000000"/>
      <color theme="1"/>
      <name val="Arial"/>
    </font>
    <font>
      <sz val="8.000000"/>
      <color theme="0" tint="-0.14999847407452621"/>
      <name val="Arial"/>
    </font>
    <font>
      <b/>
      <sz val="8.000000"/>
      <color theme="8" tint="0"/>
      <name val="Arial"/>
    </font>
    <font>
      <b/>
      <sz val="8.000000"/>
      <name val="Arial"/>
    </font>
    <font>
      <strike/>
      <sz val="8.000000"/>
      <color theme="8" tint="0"/>
      <name val="Arial"/>
    </font>
    <font>
      <sz val="11.000000"/>
      <name val="Arial"/>
    </font>
    <font>
      <sz val="8.000000"/>
      <color rgb="FF7030A0"/>
      <name val="Arial"/>
    </font>
    <font>
      <b/>
      <sz val="8.000000"/>
      <color theme="1"/>
      <name val="Arial"/>
    </font>
    <font>
      <b/>
      <sz val="12.000000"/>
      <color theme="8" tint="0"/>
      <name val="Arial"/>
    </font>
    <font>
      <strike/>
      <sz val="8.000000"/>
      <color theme="1"/>
      <name val="Arial"/>
    </font>
    <font>
      <b/>
      <strike/>
      <sz val="8.000000"/>
      <color theme="8" tint="0"/>
      <name val="Arial"/>
    </font>
    <font>
      <sz val="10.000000"/>
      <color rgb="FFBA44F5"/>
      <name val="Arial"/>
    </font>
    <font>
      <sz val="8.000000"/>
      <color rgb="FFBA44F5"/>
      <name val="Arial"/>
    </font>
    <font>
      <sz val="10.000000"/>
      <color rgb="FF7030A0"/>
      <name val="Arial"/>
    </font>
    <font>
      <b/>
      <sz val="10.000000"/>
      <color theme="1"/>
      <name val="Arial"/>
    </font>
    <font>
      <sz val="11.000000"/>
      <color rgb="FF7030A0"/>
      <name val="Arial"/>
    </font>
    <font>
      <sz val="14.000000"/>
      <color theme="1"/>
      <name val="Liberation Sans"/>
    </font>
    <font>
      <b/>
      <sz val="16.000000"/>
      <color theme="0"/>
      <name val="Liberation Sans"/>
    </font>
    <font>
      <i/>
      <sz val="16.000000"/>
      <color theme="0"/>
      <name val="Liberation Sans"/>
    </font>
    <font>
      <b/>
      <sz val="14.000000"/>
      <color theme="1"/>
      <name val="Liberation Sans"/>
    </font>
    <font>
      <sz val="10.000000"/>
      <color theme="1"/>
      <name val="Liberation Sans"/>
    </font>
    <font>
      <sz val="9.000000"/>
      <color theme="1"/>
      <name val="Liberation Sans"/>
    </font>
    <font>
      <sz val="9.000000"/>
      <color theme="1"/>
      <name val="Arial"/>
    </font>
    <font>
      <sz val="11.000000"/>
      <color theme="1"/>
      <name val="Arial"/>
    </font>
    <font>
      <sz val="11.000000"/>
      <color theme="1"/>
      <name val="Liberation Sans"/>
    </font>
    <font>
      <sz val="11.000000"/>
      <name val="Liberation Sans"/>
    </font>
    <font>
      <sz val="12.000000"/>
      <color theme="0"/>
      <name val="Liberation Sans"/>
    </font>
    <font>
      <sz val="12.000000"/>
      <color theme="1"/>
      <name val="Liberation Sans"/>
    </font>
    <font>
      <sz val="12.000000"/>
      <name val="Liberation Sans"/>
    </font>
    <font>
      <sz val="11.000000"/>
      <color theme="1"/>
      <name val="Liberation Serif"/>
    </font>
  </fonts>
  <fills count="23">
    <fill>
      <patternFill patternType="none"/>
    </fill>
    <fill>
      <patternFill patternType="gray125"/>
    </fill>
    <fill>
      <patternFill patternType="solid">
        <fgColor rgb="FF002060"/>
        <bgColor indexed="18"/>
      </patternFill>
    </fill>
    <fill>
      <patternFill patternType="solid">
        <fgColor rgb="FFFFC000"/>
        <bgColor indexed="52"/>
      </patternFill>
    </fill>
    <fill>
      <patternFill patternType="solid">
        <fgColor rgb="FF92D050"/>
        <bgColor rgb="FFA9D18E"/>
      </patternFill>
    </fill>
    <fill>
      <patternFill patternType="solid">
        <fgColor theme="7" tint="0.39989999999999998"/>
        <bgColor indexed="43"/>
      </patternFill>
    </fill>
    <fill>
      <patternFill patternType="solid">
        <fgColor rgb="FF55FAFA"/>
        <bgColor indexed="7"/>
      </patternFill>
    </fill>
    <fill>
      <patternFill patternType="solid">
        <fgColor indexed="5"/>
        <bgColor indexed="5"/>
      </patternFill>
    </fill>
    <fill>
      <patternFill patternType="solid">
        <fgColor theme="9" tint="0.39989999999999998"/>
        <bgColor rgb="FF92D050"/>
      </patternFill>
    </fill>
    <fill>
      <patternFill patternType="solid">
        <fgColor rgb="FF00B050"/>
        <bgColor indexed="21"/>
      </patternFill>
    </fill>
    <fill>
      <patternFill patternType="solid">
        <fgColor theme="8" tint="0.39989999999999998"/>
        <bgColor rgb="FF729FCF"/>
      </patternFill>
    </fill>
    <fill>
      <patternFill patternType="solid">
        <fgColor theme="4" tint="-0.5"/>
        <bgColor rgb="FF44546A"/>
      </patternFill>
    </fill>
    <fill>
      <patternFill patternType="solid">
        <fgColor rgb="FF729FCF"/>
        <bgColor rgb="FF5B9BD5"/>
      </patternFill>
    </fill>
    <fill>
      <patternFill patternType="solid">
        <fgColor rgb="FF4E376B"/>
        <bgColor rgb="FF44546A"/>
      </patternFill>
    </fill>
    <fill>
      <patternFill patternType="solid">
        <fgColor theme="8" tint="0.59999389629810485"/>
        <bgColor theme="8" tint="0.59999389629810485"/>
      </patternFill>
    </fill>
    <fill>
      <patternFill patternType="solid">
        <fgColor rgb="FF92D050"/>
        <bgColor rgb="FF92D050"/>
      </patternFill>
    </fill>
    <fill>
      <patternFill patternType="solid">
        <fgColor rgb="FFFFC000"/>
        <bgColor rgb="FFFFC000"/>
      </patternFill>
    </fill>
    <fill>
      <patternFill patternType="solid">
        <fgColor rgb="FF00B050"/>
        <bgColor rgb="FF00B050"/>
      </patternFill>
    </fill>
    <fill>
      <patternFill patternType="solid">
        <fgColor theme="4" tint="0.79990000000000006"/>
        <bgColor rgb="FFD9D9D9"/>
      </patternFill>
    </fill>
    <fill>
      <patternFill patternType="solid">
        <fgColor theme="9" tint="0.59999389629810485"/>
        <bgColor theme="9" tint="0.59999389629810485"/>
      </patternFill>
    </fill>
    <fill>
      <patternFill patternType="solid">
        <fgColor theme="4" tint="0.79998168889431442"/>
        <bgColor theme="4" tint="0.79998168889431442"/>
      </patternFill>
    </fill>
    <fill>
      <patternFill patternType="solid">
        <fgColor theme="4" tint="0.39989999999999998"/>
        <bgColor rgb="FF8FAADC"/>
      </patternFill>
    </fill>
    <fill>
      <patternFill patternType="solid">
        <fgColor theme="2" tint="-0.099978637043366805"/>
        <bgColor theme="2" tint="-0.099978637043366805"/>
      </patternFill>
    </fill>
  </fills>
  <borders count="20">
    <border>
      <left style="none"/>
      <right style="none"/>
      <top style="none"/>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medium">
        <color theme="1"/>
      </left>
      <right style="none"/>
      <top style="medium">
        <color theme="1"/>
      </top>
      <bottom style="none"/>
      <diagonal style="none"/>
    </border>
    <border>
      <left style="thin">
        <color theme="1"/>
      </left>
      <right style="thin">
        <color theme="1"/>
      </right>
      <top style="thin">
        <color theme="1"/>
      </top>
      <bottom style="none"/>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medium">
        <color theme="1"/>
      </left>
      <right style="none"/>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
      <left style="thin">
        <color theme="1"/>
      </left>
      <right style="thin">
        <color theme="1"/>
      </right>
      <top style="thin">
        <color theme="1"/>
      </top>
      <bottom style="thin">
        <color theme="1"/>
      </bottom>
      <diagonal style="none"/>
    </border>
    <border>
      <left style="thin">
        <color auto="1"/>
      </left>
      <right style="thin">
        <color auto="1"/>
      </right>
      <top style="thin">
        <color auto="1"/>
      </top>
      <bottom style="thin">
        <color auto="1"/>
      </bottom>
      <diagonal style="none"/>
    </border>
    <border>
      <left style="none"/>
      <right style="thin">
        <color theme="1"/>
      </right>
      <top style="thin">
        <color theme="1"/>
      </top>
      <bottom style="thin">
        <color theme="1"/>
      </bottom>
      <diagonal style="none"/>
    </border>
    <border>
      <left style="none"/>
      <right style="thin">
        <color theme="1"/>
      </right>
      <top style="thin">
        <color theme="1"/>
      </top>
      <bottom style="none"/>
      <diagonal style="none"/>
    </border>
    <border>
      <left style="thin">
        <color auto="1"/>
      </left>
      <right style="thin">
        <color auto="1"/>
      </right>
      <top style="thin">
        <color auto="1"/>
      </top>
      <bottom style="none"/>
      <diagonal style="none"/>
    </border>
    <border>
      <left style="thin">
        <color theme="1"/>
      </left>
      <right style="none"/>
      <top style="thin">
        <color theme="1"/>
      </top>
      <bottom style="thin">
        <color theme="1"/>
      </bottom>
      <diagonal style="none"/>
    </border>
    <border>
      <left style="thin">
        <color theme="1"/>
      </left>
      <right style="medium">
        <color theme="1"/>
      </right>
      <top style="none"/>
      <bottom style="none"/>
      <diagonal style="none"/>
    </border>
    <border>
      <left style="medium">
        <color theme="1"/>
      </left>
      <right style="medium">
        <color theme="1"/>
      </right>
      <top style="none"/>
      <bottom style="none"/>
      <diagonal style="none"/>
    </border>
    <border>
      <left style="none"/>
      <right style="none"/>
      <top style="thin">
        <color theme="1"/>
      </top>
      <bottom style="thin">
        <color theme="1"/>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08">
    <xf fontId="0" fillId="0" borderId="0" numFmtId="0" xfId="0" applyProtection="0">
      <protection hidden="0" locked="1"/>
    </xf>
    <xf fontId="2" fillId="0" borderId="0" numFmtId="0" xfId="0" applyFont="1" applyProtection="1">
      <protection hidden="0" locked="1"/>
    </xf>
    <xf fontId="3" fillId="0" borderId="0" numFmtId="0" xfId="0" applyFont="1" applyAlignment="1" applyProtection="1">
      <alignment horizontal="center" vertical="center"/>
      <protection hidden="0" locked="1"/>
    </xf>
    <xf fontId="3" fillId="0" borderId="0" numFmtId="0" xfId="0" applyFont="1" applyProtection="1">
      <protection hidden="0" locked="1"/>
    </xf>
    <xf fontId="3" fillId="0" borderId="1" numFmtId="0" xfId="0" applyFont="1" applyBorder="1" applyProtection="1">
      <protection hidden="0" locked="1"/>
    </xf>
    <xf fontId="3" fillId="0" borderId="1" numFmtId="0" xfId="0" applyFont="1" applyBorder="1" applyAlignment="1" applyProtection="1">
      <alignment horizontal="center" vertical="center"/>
      <protection hidden="0" locked="1"/>
    </xf>
    <xf fontId="3" fillId="0" borderId="2" numFmtId="0" xfId="0" applyFont="1" applyBorder="1" applyAlignment="1" applyProtection="1">
      <alignment horizontal="center" vertical="center"/>
      <protection hidden="0" locked="1"/>
    </xf>
    <xf fontId="2" fillId="0" borderId="1" numFmtId="0" xfId="0" applyFont="1" applyBorder="1" applyProtection="1">
      <protection hidden="0" locked="1"/>
    </xf>
    <xf fontId="4" fillId="2" borderId="3" numFmtId="0" xfId="0" applyFont="1" applyFill="1" applyBorder="1" applyAlignment="1" applyProtection="1">
      <alignment horizontal="center" vertical="center" wrapText="1"/>
      <protection hidden="0" locked="1"/>
    </xf>
    <xf fontId="5" fillId="3" borderId="4" numFmtId="0" xfId="0" applyFont="1" applyFill="1" applyBorder="1" applyAlignment="1" applyProtection="1">
      <alignment horizontal="center" vertical="center" wrapText="1"/>
      <protection hidden="0" locked="1"/>
    </xf>
    <xf fontId="5" fillId="4" borderId="5" numFmtId="0" xfId="0" applyFont="1" applyFill="1" applyBorder="1" applyAlignment="1" applyProtection="1">
      <alignment horizontal="center" vertical="center" wrapText="1"/>
      <protection hidden="0" locked="1"/>
    </xf>
    <xf fontId="5" fillId="5" borderId="5" numFmtId="0" xfId="0" applyFont="1" applyFill="1" applyBorder="1" applyAlignment="1" applyProtection="1">
      <alignment horizontal="center" vertical="center" wrapText="1"/>
      <protection hidden="0" locked="1"/>
    </xf>
    <xf fontId="5" fillId="5" borderId="6" numFmtId="0" xfId="0" applyFont="1" applyFill="1" applyBorder="1" applyAlignment="1" applyProtection="1">
      <alignment horizontal="center" vertical="center" wrapText="1"/>
      <protection hidden="0" locked="1"/>
    </xf>
    <xf fontId="1" fillId="6" borderId="5" numFmtId="0" xfId="0" applyFont="1" applyFill="1" applyBorder="1" applyAlignment="1" applyProtection="1">
      <alignment horizontal="center" vertical="center" wrapText="1"/>
      <protection hidden="0" locked="1"/>
    </xf>
    <xf fontId="5" fillId="3" borderId="5" numFmtId="0" xfId="0" applyFont="1" applyFill="1" applyBorder="1" applyAlignment="1" applyProtection="1">
      <alignment horizontal="center" vertical="center" wrapText="1"/>
      <protection hidden="0" locked="1"/>
    </xf>
    <xf fontId="5" fillId="7" borderId="5" numFmtId="160" xfId="0" applyNumberFormat="1" applyFont="1" applyFill="1" applyBorder="1" applyAlignment="1" applyProtection="1">
      <alignment horizontal="center" vertical="center" wrapText="1"/>
      <protection hidden="0" locked="1"/>
    </xf>
    <xf fontId="5" fillId="8" borderId="5" numFmtId="160" xfId="0" applyNumberFormat="1" applyFont="1" applyFill="1" applyBorder="1" applyAlignment="1" applyProtection="1">
      <alignment horizontal="center" vertical="center" wrapText="1"/>
      <protection hidden="0" locked="1"/>
    </xf>
    <xf fontId="5" fillId="9" borderId="5" numFmtId="160" xfId="0" applyNumberFormat="1" applyFont="1" applyFill="1" applyBorder="1" applyAlignment="1" applyProtection="1">
      <alignment horizontal="center" vertical="center" wrapText="1"/>
      <protection hidden="0" locked="1"/>
    </xf>
    <xf fontId="5" fillId="10" borderId="5" numFmtId="160" xfId="0" applyNumberFormat="1" applyFont="1" applyFill="1" applyBorder="1" applyAlignment="1" applyProtection="1">
      <alignment horizontal="center" vertical="center" wrapText="1"/>
      <protection hidden="0" locked="1"/>
    </xf>
    <xf fontId="4" fillId="11" borderId="5" numFmtId="160" xfId="0" applyNumberFormat="1" applyFont="1" applyFill="1" applyBorder="1" applyAlignment="1" applyProtection="1">
      <alignment horizontal="center" vertical="center" wrapText="1"/>
      <protection hidden="0" locked="1"/>
    </xf>
    <xf fontId="4" fillId="12" borderId="5" numFmtId="160" xfId="0" applyNumberFormat="1" applyFont="1" applyFill="1" applyBorder="1" applyAlignment="1" applyProtection="1">
      <alignment horizontal="center" vertical="center" wrapText="1"/>
      <protection hidden="0" locked="1"/>
    </xf>
    <xf fontId="4" fillId="12" borderId="4" numFmtId="160" xfId="0" applyNumberFormat="1" applyFont="1" applyFill="1" applyBorder="1" applyAlignment="1" applyProtection="1">
      <alignment horizontal="center" vertical="center" wrapText="1"/>
      <protection hidden="0" locked="1"/>
    </xf>
    <xf fontId="4" fillId="13" borderId="5" numFmtId="160" xfId="0" applyNumberFormat="1" applyFont="1" applyFill="1" applyBorder="1" applyAlignment="1" applyProtection="1">
      <alignment horizontal="center" vertical="center" wrapText="1"/>
      <protection hidden="0" locked="1"/>
    </xf>
    <xf fontId="4" fillId="14" borderId="5" numFmtId="160" xfId="0" applyNumberFormat="1" applyFont="1" applyFill="1" applyBorder="1" applyAlignment="1" applyProtection="1">
      <alignment horizontal="center" vertical="center" wrapText="1"/>
      <protection hidden="0" locked="1"/>
    </xf>
    <xf fontId="5" fillId="15" borderId="5" numFmtId="160" xfId="0" applyNumberFormat="1" applyFont="1" applyFill="1" applyBorder="1" applyAlignment="1" applyProtection="1">
      <alignment horizontal="center" vertical="center" wrapText="1"/>
      <protection hidden="0" locked="1"/>
    </xf>
    <xf fontId="5" fillId="16" borderId="5" numFmtId="160" xfId="0" applyNumberFormat="1" applyFont="1" applyFill="1" applyBorder="1" applyAlignment="1" applyProtection="1">
      <alignment horizontal="center" vertical="center" wrapText="1"/>
      <protection hidden="0" locked="1"/>
    </xf>
    <xf fontId="5" fillId="7" borderId="5" numFmtId="49" xfId="0" applyNumberFormat="1" applyFont="1" applyFill="1" applyBorder="1" applyAlignment="1" applyProtection="1">
      <alignment horizontal="center" vertical="center" wrapText="1"/>
      <protection hidden="0" locked="1"/>
    </xf>
    <xf fontId="5" fillId="15" borderId="5" numFmtId="49" xfId="0" applyNumberFormat="1" applyFont="1" applyFill="1" applyBorder="1" applyAlignment="1" applyProtection="0">
      <alignment horizontal="center" vertical="center" wrapText="1"/>
      <protection hidden="0" locked="1"/>
    </xf>
    <xf fontId="5" fillId="15" borderId="6" numFmtId="49" xfId="0" applyNumberFormat="1" applyFont="1" applyFill="1" applyBorder="1" applyAlignment="1" applyProtection="0">
      <alignment horizontal="center" vertical="center" wrapText="1"/>
      <protection hidden="0" locked="1"/>
    </xf>
    <xf fontId="5" fillId="17" borderId="1" numFmtId="49" xfId="0" applyNumberFormat="1" applyFont="1" applyFill="1" applyBorder="1" applyAlignment="1" applyProtection="0">
      <alignment horizontal="center" vertical="center" wrapText="1"/>
      <protection hidden="0" locked="1"/>
    </xf>
    <xf fontId="5" fillId="17" borderId="6" numFmtId="49" xfId="0" applyNumberFormat="1" applyFont="1" applyFill="1" applyBorder="1" applyAlignment="1" applyProtection="0">
      <alignment horizontal="center" vertical="center" wrapText="1"/>
      <protection hidden="0" locked="1"/>
    </xf>
    <xf fontId="6" fillId="2" borderId="7" numFmtId="0" xfId="0" applyFont="1" applyFill="1" applyBorder="1" applyAlignment="1" applyProtection="1">
      <alignment horizontal="center" vertical="center" wrapText="1"/>
      <protection hidden="0" locked="1"/>
    </xf>
    <xf fontId="7" fillId="2" borderId="0" numFmtId="0" xfId="0" applyFont="1" applyFill="1" applyAlignment="1" applyProtection="1">
      <alignment horizontal="center" vertical="center" wrapText="1"/>
      <protection hidden="0" locked="1"/>
    </xf>
    <xf fontId="8" fillId="3" borderId="8" numFmtId="0" xfId="0" applyFont="1" applyFill="1" applyBorder="1" applyAlignment="1" applyProtection="1">
      <alignment horizontal="center" vertical="center" wrapText="1"/>
      <protection hidden="0" locked="1"/>
    </xf>
    <xf fontId="8" fillId="3" borderId="9" numFmtId="0" xfId="0" applyFont="1" applyFill="1" applyBorder="1" applyAlignment="1" applyProtection="1">
      <alignment horizontal="center" vertical="center" wrapText="1"/>
      <protection hidden="0" locked="1"/>
    </xf>
    <xf fontId="8" fillId="3" borderId="10" numFmtId="0" xfId="0" applyFont="1" applyFill="1" applyBorder="1" applyAlignment="1" applyProtection="1">
      <alignment horizontal="center" vertical="center" wrapText="1"/>
      <protection hidden="0" locked="1"/>
    </xf>
    <xf fontId="8" fillId="4" borderId="8" numFmtId="0" xfId="0" applyFont="1" applyFill="1" applyBorder="1" applyAlignment="1" applyProtection="1">
      <alignment horizontal="center" vertical="center" wrapText="1"/>
      <protection hidden="0" locked="1"/>
    </xf>
    <xf fontId="8" fillId="4" borderId="9" numFmtId="0" xfId="0" applyFont="1" applyFill="1" applyBorder="1" applyAlignment="1" applyProtection="1">
      <alignment horizontal="center" vertical="center" wrapText="1"/>
      <protection hidden="0" locked="1"/>
    </xf>
    <xf fontId="8" fillId="5" borderId="8" numFmtId="0" xfId="0" applyFont="1" applyFill="1" applyBorder="1" applyAlignment="1" applyProtection="1">
      <alignment horizontal="center" vertical="center" wrapText="1"/>
      <protection hidden="0" locked="1"/>
    </xf>
    <xf fontId="8" fillId="5" borderId="9" numFmtId="0" xfId="0" applyFont="1" applyFill="1" applyBorder="1" applyAlignment="1" applyProtection="1">
      <alignment horizontal="center" vertical="center" wrapText="1"/>
      <protection hidden="0" locked="1"/>
    </xf>
    <xf fontId="8" fillId="6" borderId="8" numFmtId="0" xfId="0" applyFont="1" applyFill="1" applyBorder="1" applyAlignment="1" applyProtection="1">
      <alignment horizontal="center" vertical="center" wrapText="1"/>
      <protection hidden="0" locked="1"/>
    </xf>
    <xf fontId="8" fillId="6" borderId="9" numFmtId="0" xfId="0" applyFont="1" applyFill="1" applyBorder="1" applyAlignment="1" applyProtection="1">
      <alignment horizontal="center" vertical="center" wrapText="1"/>
      <protection hidden="0" locked="1"/>
    </xf>
    <xf fontId="8" fillId="7" borderId="8" numFmtId="0" xfId="0" applyFont="1" applyFill="1" applyBorder="1" applyAlignment="1" applyProtection="1">
      <alignment horizontal="center" vertical="center" wrapText="1"/>
      <protection hidden="0" locked="1"/>
    </xf>
    <xf fontId="8" fillId="7" borderId="9" numFmtId="0" xfId="0" applyFont="1" applyFill="1" applyBorder="1" applyAlignment="1" applyProtection="1">
      <alignment horizontal="center" vertical="center" wrapText="1"/>
      <protection hidden="0" locked="1"/>
    </xf>
    <xf fontId="8" fillId="8" borderId="8" numFmtId="0" xfId="0" applyFont="1" applyFill="1" applyBorder="1" applyAlignment="1" applyProtection="1">
      <alignment horizontal="center" vertical="center" wrapText="1"/>
      <protection hidden="0" locked="1"/>
    </xf>
    <xf fontId="8" fillId="8" borderId="9" numFmtId="0" xfId="0" applyFont="1" applyFill="1" applyBorder="1" applyAlignment="1" applyProtection="1">
      <alignment horizontal="center" vertical="center" wrapText="1"/>
      <protection hidden="0" locked="1"/>
    </xf>
    <xf fontId="8" fillId="9" borderId="8" numFmtId="0" xfId="0" applyFont="1" applyFill="1" applyBorder="1" applyAlignment="1" applyProtection="1">
      <alignment horizontal="center" vertical="center" wrapText="1"/>
      <protection hidden="0" locked="1"/>
    </xf>
    <xf fontId="8" fillId="9" borderId="9" numFmtId="0" xfId="0" applyFont="1" applyFill="1" applyBorder="1" applyAlignment="1" applyProtection="1">
      <alignment horizontal="center" vertical="center" wrapText="1"/>
      <protection hidden="0" locked="1"/>
    </xf>
    <xf fontId="8" fillId="10" borderId="8" numFmtId="0" xfId="0" applyFont="1" applyFill="1" applyBorder="1" applyAlignment="1" applyProtection="1">
      <alignment horizontal="center" vertical="center" wrapText="1"/>
      <protection hidden="0" locked="1"/>
    </xf>
    <xf fontId="8" fillId="10" borderId="9" numFmtId="0" xfId="0" applyFont="1" applyFill="1" applyBorder="1" applyAlignment="1" applyProtection="1">
      <alignment horizontal="center" vertical="center" wrapText="1"/>
      <protection hidden="0" locked="1"/>
    </xf>
    <xf fontId="7" fillId="11" borderId="8" numFmtId="0" xfId="0" applyFont="1" applyFill="1" applyBorder="1" applyAlignment="1" applyProtection="1">
      <alignment horizontal="center" vertical="center" wrapText="1"/>
      <protection hidden="0" locked="1"/>
    </xf>
    <xf fontId="7" fillId="11" borderId="9" numFmtId="0" xfId="0" applyFont="1" applyFill="1" applyBorder="1" applyAlignment="1" applyProtection="1">
      <alignment horizontal="center" vertical="center" wrapText="1"/>
      <protection hidden="0" locked="1"/>
    </xf>
    <xf fontId="7" fillId="12" borderId="8" numFmtId="0" xfId="0" applyFont="1" applyFill="1" applyBorder="1" applyAlignment="1" applyProtection="1">
      <alignment horizontal="center" vertical="center" wrapText="1"/>
      <protection hidden="0" locked="1"/>
    </xf>
    <xf fontId="7" fillId="12" borderId="9" numFmtId="0" xfId="0" applyFont="1" applyFill="1" applyBorder="1" applyAlignment="1" applyProtection="1">
      <alignment horizontal="center" vertical="center" wrapText="1"/>
      <protection hidden="0" locked="1"/>
    </xf>
    <xf fontId="7" fillId="12" borderId="10" numFmtId="0" xfId="0" applyFont="1" applyFill="1" applyBorder="1" applyAlignment="1" applyProtection="1">
      <alignment horizontal="center" vertical="center" wrapText="1"/>
      <protection hidden="0" locked="1"/>
    </xf>
    <xf fontId="7" fillId="13" borderId="8" numFmtId="0" xfId="0" applyFont="1" applyFill="1" applyBorder="1" applyAlignment="1" applyProtection="1">
      <alignment horizontal="center" vertical="center" wrapText="1"/>
      <protection hidden="0" locked="1"/>
    </xf>
    <xf fontId="7" fillId="13" borderId="9" numFmtId="0" xfId="0" applyFont="1" applyFill="1" applyBorder="1" applyAlignment="1" applyProtection="1">
      <alignment horizontal="center" vertical="center" wrapText="1"/>
      <protection hidden="0" locked="1"/>
    </xf>
    <xf fontId="7" fillId="14" borderId="8" numFmtId="0" xfId="0" applyFont="1" applyFill="1" applyBorder="1" applyAlignment="1" applyProtection="1">
      <alignment horizontal="center" vertical="center" wrapText="1"/>
      <protection hidden="0" locked="1"/>
    </xf>
    <xf fontId="7" fillId="14" borderId="9" numFmtId="0" xfId="0" applyFont="1" applyFill="1" applyBorder="1" applyAlignment="1" applyProtection="1">
      <alignment horizontal="center" vertical="center" wrapText="1"/>
      <protection hidden="0" locked="1"/>
    </xf>
    <xf fontId="8" fillId="15" borderId="8" numFmtId="0" xfId="0" applyFont="1" applyFill="1" applyBorder="1" applyAlignment="1" applyProtection="1">
      <alignment horizontal="center" vertical="center" wrapText="1"/>
      <protection hidden="0" locked="1"/>
    </xf>
    <xf fontId="8" fillId="15" borderId="9" numFmtId="0" xfId="0" applyFont="1" applyFill="1" applyBorder="1" applyAlignment="1" applyProtection="1">
      <alignment horizontal="center" vertical="center" wrapText="1"/>
      <protection hidden="0" locked="1"/>
    </xf>
    <xf fontId="8" fillId="16" borderId="8" numFmtId="0" xfId="0" applyFont="1" applyFill="1" applyBorder="1" applyAlignment="1" applyProtection="1">
      <alignment horizontal="center" vertical="center" wrapText="1"/>
      <protection hidden="0" locked="1"/>
    </xf>
    <xf fontId="8" fillId="16" borderId="9" numFmtId="0" xfId="0" applyFont="1" applyFill="1" applyBorder="1" applyAlignment="1" applyProtection="1">
      <alignment horizontal="center" vertical="center" wrapText="1"/>
      <protection hidden="0" locked="1"/>
    </xf>
    <xf fontId="8" fillId="17" borderId="1" numFmtId="0" xfId="0" applyFont="1" applyFill="1" applyBorder="1" applyAlignment="1" applyProtection="1">
      <alignment horizontal="center" vertical="center" wrapText="1"/>
      <protection hidden="0" locked="1"/>
    </xf>
    <xf fontId="8" fillId="17" borderId="9" numFmtId="0" xfId="0" applyFont="1" applyFill="1" applyBorder="1" applyAlignment="1" applyProtection="1">
      <alignment horizontal="center" vertical="center" wrapText="1"/>
      <protection hidden="0" locked="1"/>
    </xf>
    <xf fontId="1" fillId="0" borderId="0" numFmtId="0" xfId="0" applyFont="1" applyAlignment="1" applyProtection="1">
      <alignment horizontal="center" vertical="center" wrapText="1"/>
      <protection hidden="0" locked="1"/>
    </xf>
    <xf fontId="9" fillId="0" borderId="0" numFmtId="0" xfId="0" applyFont="1" applyAlignment="1" applyProtection="1">
      <alignment horizontal="center" vertical="center" wrapText="1"/>
      <protection hidden="0" locked="1"/>
    </xf>
    <xf fontId="10" fillId="0" borderId="0" numFmtId="0" xfId="0" applyFont="1" applyAlignment="1" applyProtection="1">
      <alignment horizontal="center" vertical="center" wrapText="1"/>
      <protection hidden="0" locked="1"/>
    </xf>
    <xf fontId="8" fillId="0" borderId="0" numFmtId="0" xfId="0" applyFont="1" applyAlignment="1" applyProtection="1">
      <alignment horizontal="center" vertical="center" wrapText="1"/>
      <protection hidden="0" locked="1"/>
    </xf>
    <xf fontId="8" fillId="0" borderId="0" numFmtId="0" xfId="0" applyFont="1" applyAlignment="1" applyProtection="1">
      <alignment vertical="center" wrapText="1"/>
      <protection hidden="0" locked="1"/>
    </xf>
    <xf fontId="8" fillId="0" borderId="1" numFmtId="0" xfId="0" applyFont="1" applyBorder="1" applyAlignment="1" applyProtection="1">
      <alignment horizontal="center" vertical="center" wrapText="1"/>
      <protection hidden="0" locked="1"/>
    </xf>
    <xf fontId="9" fillId="0" borderId="2" numFmtId="0" xfId="0" applyFont="1" applyBorder="1" applyAlignment="1" applyProtection="1">
      <alignment horizontal="center" vertical="center" wrapText="1"/>
      <protection hidden="0" locked="1"/>
    </xf>
    <xf fontId="9" fillId="0" borderId="0" numFmtId="0" xfId="0" applyFont="1" applyAlignment="1" applyProtection="1">
      <alignment horizontal="center" vertical="top" wrapText="1"/>
      <protection hidden="0" locked="1"/>
    </xf>
    <xf fontId="9" fillId="0" borderId="0" numFmtId="0" xfId="0" applyFont="1" applyAlignment="1" applyProtection="1">
      <alignment wrapText="1"/>
      <protection hidden="0" locked="1"/>
    </xf>
    <xf fontId="11" fillId="0" borderId="0" numFmtId="0" xfId="0" applyFont="1" applyAlignment="1" applyProtection="1">
      <alignment vertical="center" wrapText="1"/>
      <protection hidden="0" locked="1"/>
    </xf>
    <xf fontId="12" fillId="0" borderId="0" numFmtId="0" xfId="0" applyFont="1" applyAlignment="1" applyProtection="1">
      <alignment horizontal="center" vertical="center" wrapText="1"/>
      <protection hidden="0" locked="1"/>
    </xf>
    <xf fontId="13" fillId="0" borderId="1" numFmtId="0" xfId="0" applyFont="1" applyBorder="1" applyAlignment="1" applyProtection="1">
      <alignment vertical="center" wrapText="1"/>
      <protection hidden="0" locked="1"/>
    </xf>
    <xf fontId="14" fillId="0" borderId="1" numFmtId="0" xfId="0" applyFont="1" applyBorder="1" applyAlignment="1" applyProtection="1">
      <alignment horizontal="center" vertical="center" wrapText="1"/>
      <protection hidden="0" locked="1"/>
    </xf>
    <xf fontId="14" fillId="0" borderId="0" numFmtId="0" xfId="0" applyFont="1" applyAlignment="1" applyProtection="1">
      <alignment horizontal="center" vertical="center" wrapText="1"/>
      <protection hidden="0" locked="1"/>
    </xf>
    <xf fontId="8" fillId="0" borderId="0" numFmtId="0" xfId="0" applyFont="1" applyAlignment="1" applyProtection="1">
      <alignment horizontal="left" vertical="center" wrapText="1"/>
      <protection hidden="0" locked="1"/>
    </xf>
    <xf fontId="8" fillId="0" borderId="0" numFmtId="0" xfId="0" applyFont="1" applyAlignment="1" applyProtection="1">
      <alignment horizontal="left" vertical="top" wrapText="1"/>
      <protection hidden="0" locked="1"/>
    </xf>
    <xf fontId="15" fillId="0" borderId="0" numFmtId="0" xfId="0" applyFont="1" applyAlignment="1" applyProtection="1">
      <alignment horizontal="center" vertical="center" wrapText="1"/>
      <protection hidden="0" locked="1"/>
    </xf>
    <xf fontId="16" fillId="0" borderId="1" numFmtId="0" xfId="0" applyFont="1" applyBorder="1" applyAlignment="1" applyProtection="1">
      <alignment vertical="top" wrapText="1"/>
      <protection hidden="0" locked="1"/>
    </xf>
    <xf fontId="14" fillId="0" borderId="1" numFmtId="0" xfId="0" applyFont="1" applyBorder="1" applyAlignment="1" applyProtection="1">
      <alignment vertical="top" wrapText="1"/>
      <protection hidden="0" locked="1"/>
    </xf>
    <xf fontId="17" fillId="0" borderId="0" numFmtId="0" xfId="0" applyFont="1" applyAlignment="1" applyProtection="1">
      <alignment vertical="center" wrapText="1"/>
      <protection hidden="0" locked="1"/>
    </xf>
    <xf fontId="8" fillId="0" borderId="0" numFmtId="0" xfId="0" applyFont="1" applyAlignment="1" applyProtection="1">
      <alignment horizontal="center" vertical="top" wrapText="1"/>
      <protection hidden="0" locked="1"/>
    </xf>
    <xf fontId="8" fillId="18" borderId="0" numFmtId="0" xfId="0" applyFont="1" applyFill="1" applyAlignment="1" applyProtection="1">
      <alignment horizontal="center" vertical="center" wrapText="1"/>
      <protection hidden="0" locked="1"/>
    </xf>
    <xf fontId="8" fillId="18" borderId="1" numFmtId="0" xfId="0" applyFont="1" applyFill="1" applyBorder="1" applyAlignment="1" applyProtection="1">
      <alignment horizontal="center" vertical="center" wrapText="1"/>
      <protection hidden="0" locked="1"/>
    </xf>
    <xf fontId="8" fillId="0" borderId="2" numFmtId="0" xfId="0" applyFont="1" applyBorder="1" applyAlignment="1" applyProtection="1">
      <alignment horizontal="center" vertical="center" wrapText="1"/>
      <protection hidden="0" locked="1"/>
    </xf>
    <xf fontId="8" fillId="19" borderId="0" numFmtId="0" xfId="0" applyFont="1" applyFill="1" applyAlignment="1" applyProtection="1">
      <alignment horizontal="center" vertical="center" wrapText="1"/>
      <protection hidden="0" locked="1"/>
    </xf>
    <xf fontId="8" fillId="0" borderId="0" numFmtId="0" xfId="0" applyFont="1" applyAlignment="1" applyProtection="0">
      <alignment vertical="top" wrapText="1"/>
      <protection hidden="0" locked="1"/>
    </xf>
    <xf fontId="11" fillId="0" borderId="0" numFmtId="0" xfId="0" applyFont="1" applyAlignment="1" applyProtection="1">
      <alignment vertical="top" wrapText="1"/>
      <protection hidden="0" locked="1"/>
    </xf>
    <xf fontId="14" fillId="0" borderId="0" numFmtId="0" xfId="0" applyFont="1" applyAlignment="1" applyProtection="1">
      <alignment vertical="center" wrapText="1"/>
      <protection hidden="0" locked="1"/>
    </xf>
    <xf fontId="3" fillId="0" borderId="0" numFmtId="0" xfId="0" applyFont="1" applyAlignment="1" applyProtection="1">
      <alignment horizontal="center" vertical="center" wrapText="1"/>
      <protection hidden="0" locked="1"/>
    </xf>
    <xf fontId="18" fillId="0" borderId="0" numFmtId="0" xfId="0" applyFont="1" applyAlignment="1" applyProtection="1">
      <alignment vertical="center" wrapText="1"/>
      <protection hidden="0" locked="1"/>
    </xf>
    <xf fontId="19" fillId="0" borderId="0" numFmtId="0" xfId="0" applyFont="1" applyAlignment="1" applyProtection="1">
      <alignment horizontal="center" vertical="center" wrapText="1"/>
      <protection hidden="0" locked="1"/>
    </xf>
    <xf fontId="8" fillId="20" borderId="0" numFmtId="0" xfId="0" applyFont="1" applyFill="1" applyAlignment="1" applyProtection="1">
      <alignment horizontal="center" vertical="center" wrapText="1"/>
      <protection hidden="0" locked="1"/>
    </xf>
    <xf fontId="11" fillId="0" borderId="0" numFmtId="0" xfId="0" applyFont="1" applyAlignment="1" applyProtection="1">
      <alignment horizontal="center" vertical="top" wrapText="1"/>
      <protection hidden="0" locked="1"/>
    </xf>
    <xf fontId="20" fillId="0" borderId="1" numFmtId="0" xfId="0" applyFont="1" applyBorder="1" applyAlignment="1" applyProtection="1">
      <alignment horizontal="center" vertical="center" wrapText="1"/>
      <protection hidden="0" locked="1"/>
    </xf>
    <xf fontId="20" fillId="0" borderId="0" numFmtId="0" xfId="0" applyFont="1" applyAlignment="1" applyProtection="1">
      <alignment horizontal="center" vertical="center" wrapText="1"/>
      <protection hidden="0" locked="1"/>
    </xf>
    <xf fontId="9" fillId="0" borderId="0" numFmtId="0" xfId="0" applyFont="1" applyAlignment="1" applyProtection="1">
      <alignment horizontal="left" vertical="top" wrapText="1"/>
      <protection hidden="0" locked="1"/>
    </xf>
    <xf fontId="18" fillId="0" borderId="0" numFmtId="0" xfId="0" applyFont="1" applyAlignment="1" applyProtection="1">
      <alignment horizontal="center" vertical="center" wrapText="1"/>
      <protection hidden="0" locked="1"/>
    </xf>
    <xf fontId="9" fillId="0" borderId="0" numFmtId="0" xfId="0" applyFont="1" applyAlignment="1" applyProtection="1">
      <alignment vertical="center" wrapText="1"/>
      <protection hidden="0" locked="1"/>
    </xf>
    <xf fontId="9" fillId="0" borderId="1" numFmtId="0" xfId="0" applyFont="1" applyBorder="1" applyAlignment="1" applyProtection="1">
      <alignment horizontal="center" vertical="center" wrapText="1"/>
      <protection hidden="0" locked="1"/>
    </xf>
    <xf fontId="21" fillId="0" borderId="1" numFmtId="0" xfId="0" applyFont="1" applyBorder="1" applyAlignment="1" applyProtection="1">
      <alignment horizontal="center" vertical="center" wrapText="1"/>
      <protection hidden="0" locked="1"/>
    </xf>
    <xf fontId="21" fillId="0" borderId="0" numFmtId="0" xfId="0" applyFont="1" applyAlignment="1" applyProtection="1">
      <alignment horizontal="center" vertical="center" wrapText="1"/>
      <protection hidden="0" locked="1"/>
    </xf>
    <xf fontId="22" fillId="0" borderId="1" numFmtId="0" xfId="0" applyFont="1" applyBorder="1" applyAlignment="1" applyProtection="1">
      <alignment vertical="center" wrapText="1"/>
      <protection hidden="0" locked="1"/>
    </xf>
    <xf fontId="23" fillId="0" borderId="0" numFmtId="0" xfId="0" applyFont="1" applyAlignment="1" applyProtection="1">
      <alignment horizontal="center" vertical="center" wrapText="1"/>
      <protection hidden="0" locked="1"/>
    </xf>
    <xf fontId="13" fillId="0" borderId="0" numFmtId="0" xfId="0" applyFont="1" applyAlignment="1" applyProtection="1">
      <alignment horizontal="center" vertical="center" wrapText="1"/>
      <protection hidden="0" locked="1"/>
    </xf>
    <xf fontId="9" fillId="0" borderId="0" numFmtId="0" xfId="0" applyFont="1" applyAlignment="1" applyProtection="1">
      <alignment horizontal="center" vertical="center"/>
      <protection hidden="0" locked="1"/>
    </xf>
    <xf fontId="24" fillId="0" borderId="0" numFmtId="0" xfId="0" applyFont="1" applyAlignment="1" applyProtection="1">
      <alignment horizontal="center" vertical="center" wrapText="1"/>
      <protection hidden="0" locked="1"/>
    </xf>
    <xf fontId="19" fillId="0" borderId="0" numFmtId="0" xfId="0" applyFont="1" applyAlignment="1" applyProtection="1">
      <alignment horizontal="center" vertical="center"/>
      <protection hidden="0" locked="1"/>
    </xf>
    <xf fontId="9" fillId="0" borderId="0" numFmtId="0" xfId="0" applyFont="1" applyAlignment="1" applyProtection="0">
      <alignment horizontal="center" vertical="center" wrapText="1"/>
      <protection hidden="0" locked="1"/>
    </xf>
    <xf fontId="13" fillId="0" borderId="0" numFmtId="0" xfId="0" applyFont="1" applyAlignment="1" applyProtection="0">
      <alignment vertical="center" wrapText="1"/>
      <protection hidden="0" locked="1"/>
    </xf>
    <xf fontId="9" fillId="0" borderId="0" numFmtId="0" xfId="0" applyFont="1" applyAlignment="1" applyProtection="0">
      <alignment vertical="center" wrapText="1"/>
      <protection hidden="0" locked="1"/>
    </xf>
    <xf fontId="25" fillId="0" borderId="0" numFmtId="0" xfId="0" applyFont="1" applyAlignment="1" applyProtection="1">
      <alignment horizontal="center" vertical="center"/>
      <protection hidden="0" locked="1"/>
    </xf>
    <xf fontId="26" fillId="0" borderId="0" numFmtId="0" xfId="0" applyFont="1" applyAlignment="1" applyProtection="1">
      <alignment horizontal="center" vertical="center" wrapText="1"/>
      <protection hidden="0" locked="1"/>
    </xf>
    <xf fontId="26" fillId="0" borderId="1" numFmtId="0" xfId="0" applyFont="1" applyBorder="1" applyAlignment="1" applyProtection="1">
      <alignment horizontal="center" vertical="center" wrapText="1"/>
      <protection hidden="0" locked="1"/>
    </xf>
    <xf fontId="27" fillId="0" borderId="0" numFmtId="0" xfId="0" applyFont="1" applyAlignment="1" applyProtection="1">
      <alignment horizontal="center" vertical="center" wrapText="1"/>
      <protection hidden="0" locked="1"/>
    </xf>
    <xf fontId="3" fillId="0" borderId="0" numFmtId="0" xfId="0" applyFont="1" applyAlignment="1" applyProtection="1">
      <alignment horizontal="justify" vertical="center" wrapText="1"/>
      <protection hidden="0" locked="1"/>
    </xf>
    <xf fontId="28" fillId="0" borderId="0" numFmtId="0" xfId="0" applyFont="1" applyProtection="1">
      <protection hidden="0" locked="1"/>
    </xf>
    <xf fontId="29" fillId="2" borderId="11" numFmtId="0" xfId="0" applyFont="1" applyFill="1" applyBorder="1" applyAlignment="1" applyProtection="1">
      <alignment horizontal="center" vertical="center"/>
      <protection hidden="0" locked="1"/>
    </xf>
    <xf fontId="30" fillId="2" borderId="11" numFmtId="0" xfId="0" applyFont="1" applyFill="1" applyBorder="1" applyAlignment="1" applyProtection="1">
      <alignment horizontal="center" vertical="center" wrapText="1"/>
      <protection hidden="0" locked="1"/>
    </xf>
    <xf fontId="31" fillId="0" borderId="11" numFmtId="0" xfId="0" applyFont="1" applyBorder="1" applyAlignment="1" applyProtection="1">
      <alignment horizontal="center" vertical="center" wrapText="1"/>
      <protection hidden="0" locked="1"/>
    </xf>
    <xf fontId="32" fillId="0" borderId="0" numFmtId="0" xfId="0" applyFont="1" applyProtection="1">
      <protection hidden="0" locked="1"/>
    </xf>
    <xf fontId="32" fillId="0" borderId="11" numFmtId="0" xfId="0" applyFont="1" applyBorder="1" applyAlignment="1" applyProtection="1">
      <alignment horizontal="justify" vertical="center" wrapText="1"/>
      <protection hidden="0" locked="1"/>
    </xf>
    <xf fontId="32" fillId="0" borderId="11" numFmtId="0" xfId="0" applyFont="1" applyBorder="1" applyAlignment="1" applyProtection="1">
      <alignment vertical="top" wrapText="1"/>
      <protection hidden="0" locked="1"/>
    </xf>
    <xf fontId="32" fillId="0" borderId="11" numFmtId="0" xfId="0" applyFont="1" applyBorder="1" applyAlignment="1" applyProtection="1">
      <alignment horizontal="center" vertical="center" wrapText="1"/>
      <protection hidden="0" locked="1"/>
    </xf>
    <xf fontId="32" fillId="0" borderId="11" numFmtId="0" xfId="0" applyFont="1" applyBorder="1" applyAlignment="1" applyProtection="1">
      <alignment horizontal="center" vertical="top" wrapText="1"/>
      <protection hidden="0" locked="1"/>
    </xf>
    <xf fontId="32" fillId="0" borderId="11" numFmtId="0" xfId="0" applyFont="1" applyBorder="1" applyProtection="1">
      <protection hidden="0" locked="1"/>
    </xf>
    <xf fontId="32" fillId="0" borderId="11" numFmtId="0" xfId="0" applyFont="1" applyBorder="1" applyAlignment="1" applyProtection="1">
      <alignment horizontal="center" wrapText="1"/>
      <protection hidden="0" locked="1"/>
    </xf>
    <xf fontId="32" fillId="0" borderId="11" numFmtId="0" xfId="0" applyFont="1" applyBorder="1" applyAlignment="1" applyProtection="1">
      <alignment vertical="center" wrapText="1"/>
      <protection hidden="0" locked="1"/>
    </xf>
    <xf fontId="32" fillId="0" borderId="11" numFmtId="0" xfId="0" applyFont="1" applyBorder="1" applyAlignment="1" applyProtection="1">
      <alignment wrapText="1"/>
      <protection hidden="0" locked="1"/>
    </xf>
    <xf fontId="32" fillId="0" borderId="11" numFmtId="0" xfId="0" applyFont="1" applyBorder="1" applyAlignment="1" applyProtection="1">
      <alignment horizontal="left" vertical="top" wrapText="1"/>
      <protection hidden="0" locked="1"/>
    </xf>
    <xf fontId="33" fillId="0" borderId="11" numFmtId="0" xfId="0" applyFont="1" applyBorder="1" applyAlignment="1" applyProtection="1">
      <alignment wrapText="1"/>
      <protection hidden="0" locked="1"/>
    </xf>
    <xf fontId="33" fillId="0" borderId="11" numFmtId="0" xfId="0" applyFont="1" applyBorder="1" applyProtection="1">
      <protection hidden="0" locked="1"/>
    </xf>
    <xf fontId="34" fillId="0" borderId="0" numFmtId="0" xfId="0" applyFont="1" applyProtection="1">
      <protection hidden="0" locked="1"/>
    </xf>
    <xf fontId="35" fillId="0" borderId="0" numFmtId="0" xfId="0" applyFont="1" applyProtection="1">
      <protection hidden="0" locked="1"/>
    </xf>
    <xf fontId="35" fillId="0" borderId="0" numFmtId="0" xfId="0" applyFont="1" applyAlignment="1" applyProtection="1">
      <alignment horizontal="center"/>
      <protection hidden="0" locked="1"/>
    </xf>
    <xf fontId="28" fillId="21" borderId="5" numFmtId="0" xfId="0" applyFont="1" applyFill="1" applyBorder="1" applyAlignment="1" applyProtection="1">
      <alignment horizontal="center" vertical="center"/>
      <protection hidden="0" locked="1"/>
    </xf>
    <xf fontId="28" fillId="21" borderId="4" numFmtId="0" xfId="0" applyFont="1" applyFill="1" applyBorder="1" applyAlignment="1" applyProtection="1">
      <alignment horizontal="center" vertical="center"/>
      <protection hidden="0" locked="1"/>
    </xf>
    <xf fontId="2" fillId="0" borderId="0" numFmtId="0" xfId="0" applyFont="1" applyAlignment="1" applyProtection="1">
      <alignment vertical="center"/>
      <protection hidden="0" locked="1"/>
    </xf>
    <xf fontId="36" fillId="0" borderId="12" numFmtId="0" xfId="0" applyFont="1" applyBorder="1" applyAlignment="1" applyProtection="1">
      <alignment horizontal="center" vertical="center"/>
      <protection hidden="0" locked="1"/>
    </xf>
    <xf fontId="36" fillId="0" borderId="12" numFmtId="0" xfId="0" applyFont="1" applyBorder="1" applyAlignment="1" applyProtection="1">
      <alignment horizontal="center" vertical="center" wrapText="1"/>
      <protection hidden="0" locked="1"/>
    </xf>
    <xf fontId="32" fillId="0" borderId="12" numFmtId="0" xfId="0" applyFont="1" applyBorder="1" applyAlignment="1" applyProtection="1">
      <alignment horizontal="center" vertical="center"/>
      <protection hidden="0" locked="1"/>
    </xf>
    <xf fontId="32" fillId="0" borderId="13" numFmtId="0" xfId="0" applyFont="1" applyBorder="1" applyAlignment="1" applyProtection="1">
      <alignment horizontal="center" vertical="center"/>
      <protection hidden="0" locked="1"/>
    </xf>
    <xf fontId="35" fillId="0" borderId="0" numFmtId="0" xfId="0" applyFont="1" applyAlignment="1" applyProtection="1">
      <alignment horizontal="center" vertical="center" wrapText="1"/>
      <protection hidden="0" locked="1"/>
    </xf>
    <xf fontId="36" fillId="0" borderId="12" numFmtId="0" xfId="0" applyFont="1" applyBorder="1" applyProtection="1">
      <protection hidden="0" locked="1"/>
    </xf>
    <xf fontId="36" fillId="0" borderId="12" numFmtId="0" xfId="0" applyFont="1" applyBorder="1" applyAlignment="1" applyProtection="1">
      <alignment horizontal="center"/>
      <protection hidden="0" locked="1"/>
    </xf>
    <xf fontId="36" fillId="22" borderId="12" numFmtId="0" xfId="0" applyFont="1" applyFill="1" applyBorder="1" applyAlignment="1" applyProtection="1">
      <alignment horizontal="center" vertical="center"/>
      <protection hidden="0" locked="1"/>
    </xf>
    <xf fontId="36" fillId="22" borderId="13" numFmtId="0" xfId="0" applyFont="1" applyFill="1" applyBorder="1" applyAlignment="1" applyProtection="1">
      <alignment horizontal="center" vertical="center"/>
      <protection hidden="0" locked="1"/>
    </xf>
    <xf fontId="35" fillId="0" borderId="0" numFmtId="0" xfId="0" applyFont="1" applyAlignment="1" applyProtection="1">
      <alignment horizontal="center" vertical="center"/>
      <protection hidden="0" locked="1"/>
    </xf>
    <xf fontId="36" fillId="22" borderId="12" numFmtId="0" xfId="0" applyFont="1" applyFill="1" applyBorder="1" applyAlignment="1" applyProtection="1">
      <alignment horizontal="center"/>
      <protection hidden="0" locked="1"/>
    </xf>
    <xf fontId="36" fillId="22" borderId="13" numFmtId="0" xfId="0" applyFont="1" applyFill="1" applyBorder="1" applyAlignment="1" applyProtection="1">
      <alignment horizontal="center"/>
      <protection hidden="0" locked="1"/>
    </xf>
    <xf fontId="36" fillId="0" borderId="13" numFmtId="0" xfId="0" applyFont="1" applyBorder="1" applyAlignment="1" applyProtection="1">
      <alignment horizontal="center"/>
      <protection hidden="0" locked="1"/>
    </xf>
    <xf fontId="37" fillId="0" borderId="12" numFmtId="0" xfId="0" applyFont="1" applyBorder="1" applyProtection="1">
      <protection hidden="0" locked="1"/>
    </xf>
    <xf fontId="37" fillId="0" borderId="12" numFmtId="0" xfId="0" applyFont="1" applyBorder="1" applyAlignment="1" applyProtection="1">
      <alignment horizontal="center"/>
      <protection hidden="0" locked="1"/>
    </xf>
    <xf fontId="37" fillId="22" borderId="12" numFmtId="0" xfId="0" applyFont="1" applyFill="1" applyBorder="1" applyAlignment="1" applyProtection="1">
      <alignment horizontal="center"/>
      <protection hidden="0" locked="1"/>
    </xf>
    <xf fontId="37" fillId="0" borderId="13" numFmtId="0" xfId="0" applyFont="1" applyBorder="1" applyAlignment="1" applyProtection="1">
      <alignment horizontal="center"/>
      <protection hidden="0" locked="1"/>
    </xf>
    <xf fontId="35" fillId="0" borderId="12" numFmtId="0" xfId="0" applyFont="1" applyBorder="1" applyProtection="1">
      <protection hidden="0" locked="1"/>
    </xf>
    <xf fontId="35" fillId="0" borderId="12" numFmtId="0" xfId="0" applyFont="1" applyBorder="1" applyAlignment="1" applyProtection="1">
      <alignment horizontal="center" vertical="center"/>
      <protection hidden="0" locked="1"/>
    </xf>
    <xf fontId="35" fillId="22" borderId="12" numFmtId="0" xfId="0" applyFont="1" applyFill="1" applyBorder="1" applyAlignment="1" applyProtection="1">
      <alignment horizontal="center" vertical="center"/>
      <protection hidden="0" locked="1"/>
    </xf>
    <xf fontId="35" fillId="0" borderId="13" numFmtId="0" xfId="0" applyFont="1" applyBorder="1" applyAlignment="1" applyProtection="1">
      <alignment horizontal="center" vertical="center"/>
      <protection hidden="0" locked="1"/>
    </xf>
    <xf fontId="17" fillId="0" borderId="12" numFmtId="0" xfId="0" applyFont="1" applyBorder="1" applyProtection="1">
      <protection hidden="0" locked="1"/>
    </xf>
    <xf fontId="17" fillId="0" borderId="12" numFmtId="0" xfId="0" applyFont="1" applyBorder="1" applyAlignment="1" applyProtection="1">
      <alignment horizontal="center"/>
      <protection hidden="0" locked="1"/>
    </xf>
    <xf fontId="17" fillId="0" borderId="12" numFmtId="0" xfId="0" applyFont="1" applyBorder="1" applyAlignment="1" applyProtection="1">
      <alignment horizontal="center" vertical="center"/>
      <protection hidden="0" locked="1"/>
    </xf>
    <xf fontId="17" fillId="22" borderId="12" numFmtId="0" xfId="0" applyFont="1" applyFill="1" applyBorder="1" applyAlignment="1" applyProtection="1">
      <alignment horizontal="center" vertical="center"/>
      <protection hidden="0" locked="1"/>
    </xf>
    <xf fontId="17" fillId="0" borderId="13" numFmtId="0" xfId="0" applyFont="1" applyBorder="1" applyAlignment="1" applyProtection="1">
      <alignment horizontal="center" vertical="center"/>
      <protection hidden="0" locked="1"/>
    </xf>
    <xf fontId="17" fillId="0" borderId="12" numFmtId="0" xfId="0" applyFont="1" applyBorder="1" applyAlignment="1" applyProtection="1">
      <alignment horizontal="left"/>
      <protection hidden="0" locked="1"/>
    </xf>
    <xf fontId="17" fillId="22" borderId="12" numFmtId="0" xfId="0" applyFont="1" applyFill="1" applyBorder="1" applyAlignment="1" applyProtection="1">
      <alignment horizontal="center"/>
      <protection hidden="0" locked="1"/>
    </xf>
    <xf fontId="17" fillId="0" borderId="13" numFmtId="0" xfId="0" applyFont="1" applyBorder="1" applyAlignment="1" applyProtection="1">
      <alignment horizontal="center"/>
      <protection hidden="0" locked="1"/>
    </xf>
    <xf fontId="17" fillId="0" borderId="14" numFmtId="0" xfId="0" applyFont="1" applyBorder="1" applyAlignment="1" applyProtection="1">
      <alignment horizontal="center"/>
      <protection hidden="0" locked="1"/>
    </xf>
    <xf fontId="35" fillId="0" borderId="15" numFmtId="0" xfId="0" applyFont="1" applyBorder="1" applyProtection="1">
      <protection hidden="0" locked="1"/>
    </xf>
    <xf fontId="17" fillId="0" borderId="15" numFmtId="0" xfId="0" applyFont="1" applyBorder="1" applyAlignment="1" applyProtection="1">
      <alignment horizontal="center"/>
      <protection hidden="0" locked="1"/>
    </xf>
    <xf fontId="35" fillId="0" borderId="15" numFmtId="0" xfId="0" applyFont="1" applyBorder="1" applyAlignment="1" applyProtection="1">
      <alignment horizontal="center"/>
      <protection hidden="0" locked="1"/>
    </xf>
    <xf fontId="35" fillId="0" borderId="16" numFmtId="0" xfId="0" applyFont="1" applyBorder="1" applyProtection="1">
      <protection hidden="0" locked="1"/>
    </xf>
    <xf fontId="35" fillId="0" borderId="13" numFmtId="0" xfId="0" applyFont="1" applyBorder="1" applyAlignment="1" applyProtection="1">
      <alignment horizontal="center"/>
      <protection hidden="0" locked="1"/>
    </xf>
    <xf fontId="35" fillId="0" borderId="11" numFmtId="0" xfId="0" applyFont="1" applyBorder="1" applyAlignment="1" applyProtection="1">
      <alignment horizontal="center"/>
      <protection hidden="0" locked="1"/>
    </xf>
    <xf fontId="36" fillId="0" borderId="0" numFmtId="0" xfId="0" applyFont="1" applyProtection="1">
      <protection hidden="0" locked="1"/>
    </xf>
    <xf fontId="38" fillId="11" borderId="17" numFmtId="0" xfId="0" applyFont="1" applyFill="1" applyBorder="1" applyAlignment="1" applyProtection="1">
      <alignment horizontal="center" vertical="center" wrapText="1"/>
      <protection hidden="0" locked="1"/>
    </xf>
    <xf fontId="38" fillId="11" borderId="18" numFmtId="0" xfId="0" applyFont="1" applyFill="1" applyBorder="1" applyAlignment="1" applyProtection="1">
      <alignment horizontal="center" vertical="center" wrapText="1"/>
      <protection hidden="0" locked="1"/>
    </xf>
    <xf fontId="38" fillId="11" borderId="0" numFmtId="0" xfId="0" applyFont="1" applyFill="1" applyAlignment="1" applyProtection="1">
      <alignment horizontal="center" vertical="center" wrapText="1"/>
      <protection hidden="0" locked="1"/>
    </xf>
    <xf fontId="36" fillId="0" borderId="0" numFmtId="0" xfId="0" applyFont="1" applyAlignment="1" applyProtection="1">
      <alignment horizontal="center" vertical="center"/>
      <protection hidden="0" locked="1"/>
    </xf>
    <xf fontId="39" fillId="0" borderId="11" numFmtId="0" xfId="0" applyFont="1" applyBorder="1" applyAlignment="1" applyProtection="1">
      <alignment horizontal="center" vertical="center" wrapText="1"/>
      <protection hidden="0" locked="1"/>
    </xf>
    <xf fontId="39" fillId="0" borderId="16" numFmtId="0" xfId="0" applyFont="1" applyBorder="1" applyAlignment="1" applyProtection="1">
      <alignment horizontal="left" vertical="center" wrapText="1"/>
      <protection hidden="0" locked="1"/>
    </xf>
    <xf fontId="39" fillId="0" borderId="19" numFmtId="0" xfId="0" applyFont="1" applyBorder="1" applyAlignment="1" applyProtection="1">
      <alignment horizontal="left" vertical="center" wrapText="1"/>
      <protection hidden="0" locked="1"/>
    </xf>
    <xf fontId="39" fillId="0" borderId="13" numFmtId="0" xfId="0" applyFont="1" applyBorder="1" applyAlignment="1" applyProtection="1">
      <alignment horizontal="left" vertical="center" wrapText="1"/>
      <protection hidden="0" locked="1"/>
    </xf>
    <xf fontId="40" fillId="0" borderId="19" numFmtId="0" xfId="0" applyFont="1" applyBorder="1" applyAlignment="1" applyProtection="1">
      <alignment horizontal="center" vertical="center" wrapText="1"/>
      <protection hidden="0" locked="1"/>
    </xf>
    <xf fontId="40" fillId="0" borderId="13" numFmtId="0" xfId="0" applyFont="1" applyBorder="1" applyAlignment="1" applyProtection="1">
      <alignment horizontal="center" vertical="center" wrapText="1"/>
      <protection hidden="0" locked="1"/>
    </xf>
    <xf fontId="39" fillId="0" borderId="11" numFmtId="0" xfId="0" applyFont="1" applyBorder="1" applyAlignment="1" applyProtection="1">
      <alignment horizontal="left" vertical="top" wrapText="1"/>
      <protection hidden="0" locked="1"/>
    </xf>
    <xf fontId="39" fillId="0" borderId="16" numFmtId="0" xfId="0" applyFont="1" applyBorder="1" applyAlignment="1" applyProtection="1">
      <alignment horizontal="center" vertical="center" wrapText="1"/>
      <protection hidden="0" locked="1"/>
    </xf>
    <xf fontId="39" fillId="0" borderId="19" numFmtId="0" xfId="0" applyFont="1" applyBorder="1" applyAlignment="1" applyProtection="1">
      <alignment horizontal="center" vertical="center" wrapText="1"/>
      <protection hidden="0" locked="1"/>
    </xf>
    <xf fontId="39" fillId="0" borderId="13" numFmtId="0" xfId="0" applyFont="1" applyBorder="1" applyAlignment="1" applyProtection="1">
      <alignment horizontal="center" vertical="center" wrapText="1"/>
      <protection hidden="0" locked="1"/>
    </xf>
    <xf fontId="39" fillId="0" borderId="4" numFmtId="0" xfId="0" applyFont="1" applyBorder="1" applyAlignment="1" applyProtection="1">
      <alignment horizontal="center" vertical="center" wrapText="1"/>
      <protection hidden="0" locked="1"/>
    </xf>
    <xf fontId="40" fillId="0" borderId="4" numFmtId="0" xfId="0" applyFont="1" applyBorder="1" applyAlignment="1" applyProtection="1">
      <alignment horizontal="left" vertical="top" wrapText="1"/>
      <protection hidden="0" locked="1"/>
    </xf>
    <xf fontId="39" fillId="0" borderId="5" numFmtId="0" xfId="0" applyFont="1" applyBorder="1" applyAlignment="1" applyProtection="1">
      <alignment horizontal="center" vertical="center" wrapText="1"/>
      <protection hidden="0" locked="1"/>
    </xf>
    <xf fontId="39" fillId="0" borderId="6" numFmtId="0" xfId="0" applyFont="1" applyBorder="1" applyAlignment="1" applyProtection="1">
      <alignment horizontal="center" vertical="center" wrapText="1"/>
      <protection hidden="0" locked="1"/>
    </xf>
    <xf fontId="39" fillId="0" borderId="14" numFmtId="0" xfId="0" applyFont="1" applyBorder="1" applyAlignment="1" applyProtection="1">
      <alignment horizontal="center" vertical="center" wrapText="1"/>
      <protection hidden="0" locked="1"/>
    </xf>
    <xf fontId="40" fillId="0" borderId="5" numFmtId="0" xfId="0" applyFont="1" applyBorder="1" applyAlignment="1" applyProtection="1">
      <alignment horizontal="left" vertical="top" wrapText="1"/>
      <protection hidden="0" locked="1"/>
    </xf>
    <xf fontId="40" fillId="0" borderId="6" numFmtId="0" xfId="0" applyFont="1" applyBorder="1" applyAlignment="1" applyProtection="1">
      <alignment horizontal="left" vertical="top" wrapText="1"/>
      <protection hidden="0" locked="1"/>
    </xf>
    <xf fontId="40" fillId="0" borderId="14" numFmtId="0" xfId="0" applyFont="1" applyBorder="1" applyAlignment="1" applyProtection="1">
      <alignment horizontal="left" vertical="top" wrapText="1"/>
      <protection hidden="0" locked="1"/>
    </xf>
    <xf fontId="40" fillId="0" borderId="5" numFmtId="0" xfId="0" applyFont="1" applyBorder="1" applyAlignment="1" applyProtection="1">
      <alignment horizontal="center" vertical="center" wrapText="1"/>
      <protection hidden="0" locked="1"/>
    </xf>
    <xf fontId="40" fillId="0" borderId="6" numFmtId="0" xfId="0" applyFont="1" applyBorder="1" applyAlignment="1" applyProtection="1">
      <alignment horizontal="center" vertical="center" wrapText="1"/>
      <protection hidden="0" locked="1"/>
    </xf>
    <xf fontId="40" fillId="0" borderId="14" numFmtId="0" xfId="0" applyFont="1" applyBorder="1" applyAlignment="1" applyProtection="1">
      <alignment horizontal="center" vertical="center" wrapText="1"/>
      <protection hidden="0" locked="1"/>
    </xf>
    <xf fontId="39" fillId="0" borderId="16" numFmtId="0" xfId="0" applyFont="1" applyBorder="1" applyAlignment="1" applyProtection="1">
      <alignment horizontal="left" vertical="top" wrapText="1"/>
      <protection hidden="0" locked="1"/>
    </xf>
    <xf fontId="39" fillId="0" borderId="19" numFmtId="0" xfId="0" applyFont="1" applyBorder="1" applyAlignment="1" applyProtection="1">
      <alignment horizontal="left" vertical="top" wrapText="1"/>
      <protection hidden="0" locked="1"/>
    </xf>
    <xf fontId="39" fillId="0" borderId="13" numFmtId="0" xfId="0" applyFont="1" applyBorder="1" applyAlignment="1" applyProtection="1">
      <alignment horizontal="left" vertical="top" wrapText="1"/>
      <protection hidden="0" locked="1"/>
    </xf>
    <xf fontId="41"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3.xml"/><Relationship  Id="rId3" Type="http://schemas.openxmlformats.org/officeDocument/2006/relationships/worksheet" Target="worksheets/sheet2.xml"/><Relationship  Id="rId2" Type="http://schemas.openxmlformats.org/officeDocument/2006/relationships/worksheet" Target="worksheets/sheet1.xml"/><Relationship  Id="rId1" Type="http://schemas.microsoft.com/office/2017/10/relationships/person" Target="persons/person.xml"/></Relationships>
</file>

<file path=xl/charts/_rels/chart1.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a:lstStyle/>
          <a:p>
            <a:pPr>
              <a:defRPr lang="ru-RU" sz="1400" b="0" strike="noStrike" spc="-1">
                <a:solidFill>
                  <a:srgbClr val="595959"/>
                </a:solidFill>
                <a:latin typeface="Calibri"/>
                <a:ea typeface="Arial"/>
              </a:defRPr>
            </a:pPr>
            <a:r>
              <a:rPr lang="ru-RU" sz="1400" b="0" strike="noStrike" spc="-1">
                <a:solidFill>
                  <a:srgbClr val="595959"/>
                </a:solidFill>
                <a:latin typeface="Calibri"/>
                <a:ea typeface="Arial"/>
              </a:rPr>
              <a:t>Инфографика звонков отдела СРТП </a:t>
            </a:r>
            <a:endParaRPr/>
          </a:p>
        </c:rich>
      </c:tx>
      <c:layout/>
      <c:overlay val="0"/>
      <c:spPr bwMode="auto">
        <a:prstGeom prst="rect">
          <a:avLst/>
        </a:prstGeom>
        <a:noFill/>
        <a:ln w="0">
          <a:noFill/>
        </a:ln>
      </c:spPr>
    </c:title>
    <c:autoTitleDeleted val="0"/>
    <c:plotArea>
      <c:layout>
        <c:manualLayout>
          <c:layoutTarget val="inner"/>
          <c:xMode val="edge"/>
          <c:yMode val="edge"/>
          <c:x val="0.082966"/>
          <c:y val="0.166824"/>
          <c:w val="0.892458"/>
          <c:h val="0.547805"/>
        </c:manualLayout>
      </c:layout>
      <c:barChart>
        <c:barDir val="col"/>
        <c:grouping val="clustered"/>
        <c:varyColors val="0"/>
        <c:ser>
          <c:idx val="0"/>
          <c:order val="0"/>
          <c:tx>
            <c:strRef>
              <c:f xml:space="preserve">'Количественная аналитика'!$A$4:$A$37</c:f>
            </c:strRef>
          </c:tx>
          <c:spPr bwMode="auto">
            <a:prstGeom prst="rect">
              <a:avLst/>
            </a:prstGeom>
            <a:solidFill>
              <a:srgbClr val="5B9BD5"/>
            </a:solidFill>
            <a:ln w="0">
              <a:noFill/>
              <a:round/>
            </a:ln>
          </c:spPr>
          <c:invertIfNegative val="0"/>
          <c:dLbls>
            <c:dLblPos val="outEnd"/>
            <c:separator xml:space="preserve">; </c:separator>
            <c:showBubbleSize val="0"/>
            <c:showCatName val="0"/>
            <c:showLeaderLines val="0"/>
            <c:showLegendKey val="0"/>
            <c:showPercent val="0"/>
            <c:showSerName val="0"/>
            <c:showVal val="0"/>
            <c:txPr>
              <a:bodyPr wrap="square"/>
              <a:lstStyle/>
              <a:p>
                <a:pPr>
                  <a:defRPr sz="1000" b="0" strike="noStrike" spc="-1">
                    <a:solidFill>
                      <a:srgbClr val="000000"/>
                    </a:solidFill>
                    <a:latin typeface="Calibri"/>
                    <a:ea typeface="Arial"/>
                  </a:defRPr>
                </a:pPr>
                <a:endParaRPr/>
              </a:p>
            </c:txPr>
          </c:dLbls>
          <c:cat>
            <c:strRef>
              <c:f xml:space="preserve">'Количественная аналитика'!$A$4:$A$36</c:f>
            </c:strRef>
          </c:cat>
          <c:val>
            <c:numRef>
              <c:f xml:space="preserve">'Количественная аналитика'!$B$4:$B$37</c:f>
            </c:numRef>
          </c:val>
        </c:ser>
        <c:dLbls>
          <c:showBubbleSize val="0"/>
          <c:showCatName val="0"/>
          <c:showLeaderLines val="0"/>
          <c:showLegendKey val="0"/>
          <c:showPercent val="0"/>
          <c:showSerName val="0"/>
          <c:showVal val="0"/>
        </c:dLbls>
        <c:gapWidth val="219"/>
        <c:overlap val="-26"/>
        <c:axId val="93499013"/>
        <c:axId val="54822387"/>
      </c:barChart>
      <c:catAx>
        <c:axId val="93499013"/>
        <c:scaling>
          <c:orientation val="minMax"/>
        </c:scaling>
        <c:delete val="0"/>
        <c:axPos val="b"/>
        <c:numFmt formatCode="General" sourceLinked="0"/>
        <c:majorTickMark val="none"/>
        <c:minorTickMark val="none"/>
        <c:tickLblPos val="nextTo"/>
        <c:spPr bwMode="auto">
          <a:prstGeom prst="rect">
            <a:avLst/>
          </a:prstGeom>
          <a:ln w="9360">
            <a:solidFill>
              <a:srgbClr val="D9D9D9"/>
            </a:solidFill>
            <a:round/>
          </a:ln>
        </c:spPr>
        <c:txPr>
          <a:bodyPr/>
          <a:lstStyle/>
          <a:p>
            <a:pPr>
              <a:defRPr sz="900" b="0" strike="noStrike" spc="-1">
                <a:solidFill>
                  <a:srgbClr val="595959"/>
                </a:solidFill>
                <a:latin typeface="Calibri"/>
                <a:ea typeface="Arial"/>
              </a:defRPr>
            </a:pPr>
            <a:endParaRPr/>
          </a:p>
        </c:txPr>
        <c:crossAx val="54822387"/>
        <c:crosses val="autoZero"/>
        <c:auto val="1"/>
        <c:lblAlgn val="ctr"/>
        <c:lblOffset val="100"/>
        <c:noMultiLvlLbl val="0"/>
      </c:catAx>
      <c:valAx>
        <c:axId val="54822387"/>
        <c:scaling>
          <c:orientation val="minMax"/>
        </c:scaling>
        <c:delete val="0"/>
        <c:axPos val="l"/>
        <c:majorGridlines>
          <c:spPr bwMode="auto">
            <a:prstGeom prst="rect">
              <a:avLst/>
            </a:prstGeom>
            <a:ln w="9360">
              <a:solidFill>
                <a:srgbClr val="D9D9D9"/>
              </a:solidFill>
              <a:round/>
            </a:ln>
          </c:spPr>
        </c:majorGridlines>
        <c:numFmt formatCode="General" sourceLinked="0"/>
        <c:majorTickMark val="none"/>
        <c:minorTickMark val="none"/>
        <c:tickLblPos val="nextTo"/>
        <c:spPr bwMode="auto">
          <a:prstGeom prst="rect">
            <a:avLst/>
          </a:prstGeom>
          <a:ln w="6480">
            <a:noFill/>
          </a:ln>
        </c:spPr>
        <c:txPr>
          <a:bodyPr/>
          <a:lstStyle/>
          <a:p>
            <a:pPr>
              <a:defRPr sz="900" b="0" strike="noStrike" spc="-1">
                <a:solidFill>
                  <a:srgbClr val="595959"/>
                </a:solidFill>
                <a:latin typeface="Calibri"/>
                <a:ea typeface="Arial"/>
              </a:defRPr>
            </a:pPr>
            <a:endParaRPr/>
          </a:p>
        </c:txPr>
        <c:crossAx val="93499013"/>
        <c:crosses val="autoZero"/>
        <c:crossBetween val="between"/>
      </c:valAx>
      <c:spPr bwMode="auto">
        <a:prstGeom prst="rect">
          <a:avLst/>
        </a:prstGeom>
        <a:noFill/>
        <a:ln w="0">
          <a:noFill/>
        </a:ln>
      </c:spPr>
    </c:plotArea>
    <c:plotVisOnly val="1"/>
    <c:dispBlanksAs val="gap"/>
    <c:showDLblsOverMax val="0"/>
  </c:chart>
  <c:spPr bwMode="auto">
    <a:xfrm>
      <a:off x="8804272" y="0"/>
      <a:ext cx="5555192" cy="5884333"/>
    </a:xfrm>
    <a:prstGeom prst="rect">
      <a:avLst/>
    </a:prstGeom>
    <a:solidFill>
      <a:srgbClr val="FFFFFF"/>
    </a:solidFill>
    <a:ln w="9360">
      <a:solidFill>
        <a:srgbClr val="D9D9D9"/>
      </a:solidFill>
      <a:round/>
    </a:ln>
  </c:spPr>
</c:chartSpace>
</file>

<file path=xl/drawings/_rels/drawing1.xml.rels><?xml version="1.0" encoding="UTF-8" standalone="yes"?><Relationships xmlns="http://schemas.openxmlformats.org/package/2006/relationships"></Relationships>
</file>

<file path=xl/drawings/_rels/drawing2.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xdr:col>
      <xdr:colOff>1857240</xdr:colOff>
      <xdr:row>2</xdr:row>
      <xdr:rowOff>838080</xdr:rowOff>
    </xdr:from>
    <xdr:to>
      <xdr:col>2</xdr:col>
      <xdr:colOff>74520</xdr:colOff>
      <xdr:row>2</xdr:row>
      <xdr:rowOff>855720</xdr:rowOff>
    </xdr:to>
    <xdr:sp>
      <xdr:nvSpPr>
        <xdr:cNvPr id="0" name=""/>
        <xdr:cNvSpPr/>
      </xdr:nvSpPr>
      <xdr:spPr bwMode="auto">
        <a:xfrm>
          <a:off x="4021920" y="1276200"/>
          <a:ext cx="381960" cy="17640"/>
        </a:xfrm>
        <a:custGeom>
          <a:avLst/>
          <a:gdLst>
            <a:gd name="textAreaLeft" fmla="*/ 0 w 381960"/>
            <a:gd name="textAreaRight" fmla="*/ 383400 w 381960"/>
            <a:gd name="textAreaTop" fmla="*/ 0 h 17640"/>
            <a:gd name="textAreaBottom" fmla="*/ 19080 h 17640"/>
          </a:gdLst>
          <a:ahLst/>
          <a:cxnLst/>
          <a:rect l="textAreaLeft" t="textAreaTop" r="textAreaRight" b="textAreaBottom"/>
          <a:pathLst>
            <a:path w="43200" h="43200" fill="none" stroke="1" extrusionOk="0">
              <a:moveTo>
                <a:pt x="0" y="21600"/>
              </a:moveTo>
              <a:cubicBezTo>
                <a:pt x="6171" y="43200"/>
                <a:pt x="12342" y="43200"/>
                <a:pt x="18514" y="21600"/>
              </a:cubicBezTo>
              <a:cubicBezTo>
                <a:pt x="24685" y="21600"/>
                <a:pt x="30857" y="21600"/>
                <a:pt x="37028" y="0"/>
              </a:cubicBezTo>
              <a:lnTo>
                <a:pt x="43200" y="0"/>
              </a:lnTo>
            </a:path>
          </a:pathLst>
        </a:custGeom>
        <a:noFill/>
        <a:ln w="36000">
          <a:solidFill>
            <a:srgbClr val="479ED2"/>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xdr:col>
      <xdr:colOff>2028960</xdr:colOff>
      <xdr:row>2</xdr:row>
      <xdr:rowOff>771480</xdr:rowOff>
    </xdr:from>
    <xdr:to>
      <xdr:col>2</xdr:col>
      <xdr:colOff>103320</xdr:colOff>
      <xdr:row>2</xdr:row>
      <xdr:rowOff>941400</xdr:rowOff>
    </xdr:to>
    <xdr:sp>
      <xdr:nvSpPr>
        <xdr:cNvPr id="1" name=""/>
        <xdr:cNvSpPr/>
      </xdr:nvSpPr>
      <xdr:spPr bwMode="auto">
        <a:xfrm>
          <a:off x="4193640" y="1209600"/>
          <a:ext cx="239040" cy="169920"/>
        </a:xfrm>
        <a:custGeom>
          <a:avLst/>
          <a:gdLst>
            <a:gd name="textAreaLeft" fmla="*/ 0 w 239040"/>
            <a:gd name="textAreaRight" fmla="*/ 240480 w 239040"/>
            <a:gd name="textAreaTop" fmla="*/ 0 h 169920"/>
            <a:gd name="textAreaBottom" fmla="*/ 171360 h 169920"/>
          </a:gdLst>
          <a:ahLst/>
          <a:cxnLst/>
          <a:rect l="textAreaLeft" t="textAreaTop" r="textAreaRight" b="textAreaBottom"/>
          <a:pathLst>
            <a:path w="43200" h="43200" fill="none" stroke="1" extrusionOk="0">
              <a:moveTo>
                <a:pt x="3323" y="0"/>
              </a:moveTo>
              <a:cubicBezTo>
                <a:pt x="16615" y="4800"/>
                <a:pt x="29907" y="12000"/>
                <a:pt x="43200" y="14399"/>
              </a:cubicBezTo>
              <a:cubicBezTo>
                <a:pt x="33230" y="21599"/>
                <a:pt x="19938" y="28799"/>
                <a:pt x="6646" y="33599"/>
              </a:cubicBezTo>
              <a:lnTo>
                <a:pt x="0" y="43200"/>
              </a:lnTo>
            </a:path>
          </a:pathLst>
        </a:custGeom>
        <a:noFill/>
        <a:ln w="36000">
          <a:solidFill>
            <a:srgbClr val="479ED2"/>
          </a:solidFill>
          <a:miter/>
        </a:ln>
      </xdr:spPr>
      <xdr:style>
        <a:lnRef idx="2">
          <a:schemeClr val="accent1">
            <a:shade val="50000"/>
          </a:schemeClr>
        </a:lnRef>
        <a:fillRef idx="1">
          <a:schemeClr val="accent1"/>
        </a:fillRef>
        <a:effectRef idx="0">
          <a:schemeClr val="accent1"/>
        </a:effectRef>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11</xdr:col>
      <xdr:colOff>20106</xdr:colOff>
      <xdr:row>0</xdr:row>
      <xdr:rowOff>0</xdr:rowOff>
    </xdr:from>
    <xdr:to>
      <xdr:col>15</xdr:col>
      <xdr:colOff>410632</xdr:colOff>
      <xdr:row>31</xdr:row>
      <xdr:rowOff>0</xdr:rowOff>
    </xdr:to>
    <xdr:graphicFrame>
      <xdr:nvGraphicFramePr>
        <xdr:cNvPr id="2" name="Диаграмма 1241802548"/>
        <xdr:cNvGraphicFramePr>
          <a:graphicFrameLocks xmlns:a="http://schemas.openxmlformats.org/drawingml/2006/main"/>
        </xdr:cNvGraphicFramePr>
      </xdr:nvGraphicFramePr>
      <xdr:xfrm>
        <a:off x="8804272" y="0"/>
        <a:ext cx="5555192" cy="5884333"/>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pstaver" id="{F99118CC-0AAC-9625-E1A0-B694152D701E}" userId="apstaver" providerId="Teamlab"/>
  <person displayName="&lt;анонимный&gt;" id="{64E1BF1C-75A7-A14C-0463-5B2ACE7F6509}"/>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BS11" dT="2026-06-24T11:05:49.78Z" personId="{F99118CC-0AAC-9625-E1A0-B694152D701E}" id="{7A36D591-5026-A77C-731A-B42CBB4B07E6}" done="0">
    <text xml:space="preserve">Кошик
</text>
  </threadedComment>
  <threadedComment ref="BU12" dT="2026-05-26T06:08:43.44Z" personId="{F99118CC-0AAC-9625-E1A0-B694152D701E}" id="{C0856490-28B3-ABE5-29E5-A3C8088F540A}" done="0">
    <text xml:space="preserve">Кошик, Гасанов
</text>
  </threadedComment>
  <threadedComment ref="C3" personId="{64E1BF1C-75A7-A14C-0463-5B2ACE7F6509}" id="{002000AF-0034-4B52-9945-006D00FE004D}" done="0">
    <text xml:space="preserve">sur:
АС
</text>
  </threadedComment>
  <threadedComment ref="BQ3" dT="2026-05-28T12:14:40.92Z" personId="{F99118CC-0AAC-9625-E1A0-B694152D701E}" id="{1BDAFC80-BEDF-6867-79E6-ED59D616EBB1}" done="0">
    <text xml:space="preserve">Ставер
</text>
  </threadedComment>
  <threadedComment ref="BT3" dT="2026-05-26T05:44:08.60Z" personId="{F99118CC-0AAC-9625-E1A0-B694152D701E}" id="{FF7EC16E-B7C5-0BB9-54ED-10F49B6778C5}" done="0">
    <text xml:space="preserve">Ставер
</text>
  </threadedComment>
  <threadedComment ref="BU3" dT="2026-05-26T05:44:08.60Z" personId="{F99118CC-0AAC-9625-E1A0-B694152D701E}" id="{DD9B5FF7-93FB-276C-D49B-4CC4B5EF50A7}" done="0">
    <text xml:space="preserve">Ставер
</text>
  </threadedComment>
  <threadedComment ref="C4" personId="{64E1BF1C-75A7-A14C-0463-5B2ACE7F6509}" id="{00AA0082-003A-472B-A959-00DF00CC0063}" done="0">
    <text xml:space="preserve">sur:
АС
</text>
  </threadedComment>
  <threadedComment ref="BP4" dT="2026-05-28T12:14:54.80Z" personId="{F99118CC-0AAC-9625-E1A0-B694152D701E}" id="{AE6D22BC-4794-AEC7-9A56-C75D676CC73F}" done="0">
    <text xml:space="preserve">Ставер
</text>
  </threadedComment>
  <threadedComment ref="BU4" dT="2026-05-26T05:44:18.10Z" personId="{F99118CC-0AAC-9625-E1A0-B694152D701E}" id="{85302ABA-13AF-017C-64EA-B4CD87FF48B2}" done="0">
    <text xml:space="preserve">Мулявин
</text>
  </threadedComment>
  <threadedComment ref="C5" personId="{64E1BF1C-75A7-A14C-0463-5B2ACE7F6509}" id="{0094005F-0037-4F66-8159-00510022002F}" done="0">
    <text xml:space="preserve">sur:
АС
</text>
  </threadedComment>
  <threadedComment ref="E5" personId="{64E1BF1C-75A7-A14C-0463-5B2ACE7F6509}" id="{00020045-0050-40B5-A0A5-007200AC009C}" done="0">
    <text xml:space="preserve">sur:
МС
</text>
  </threadedComment>
  <threadedComment ref="BP5" dT="2026-05-26T05:44:18.10Z" personId="{F99118CC-0AAC-9625-E1A0-B694152D701E}" id="{21829C90-2351-64A3-EDAB-E15EA5203A47}" done="0">
    <text xml:space="preserve">Ставер
</text>
  </threadedComment>
  <threadedComment ref="BT5" dT="2026-05-26T05:44:26.43Z" personId="{F99118CC-0AAC-9625-E1A0-B694152D701E}" id="{A4D9EA6B-4076-9C83-27C9-68F5FB1BAEB4}" done="0">
    <text xml:space="preserve">Ставер
</text>
  </threadedComment>
  <threadedComment ref="BV5" dT="2026-05-26T05:47:43.47Z" personId="{F99118CC-0AAC-9625-E1A0-B694152D701E}" id="{4C5BF61B-4513-0474-D250-373EBE2357E9}" done="0">
    <text xml:space="preserve">Ставер, Лычев, Ананьев
</text>
  </threadedComment>
  <threadedComment ref="BW5" dT="2026-06-26T04:21:58.37Z" personId="{F99118CC-0AAC-9625-E1A0-B694152D701E}" id="{9065D3B8-FB63-4CD9-5264-06F340BD7F72}" done="0">
    <text xml:space="preserve">Ставер, Ананьев
</text>
  </threadedComment>
  <threadedComment ref="E6" personId="{64E1BF1C-75A7-A14C-0463-5B2ACE7F6509}" id="{004900C1-0053-4DE6-8AE6-00A400B2004F}" done="0">
    <text xml:space="preserve">sur:
АС
</text>
  </threadedComment>
  <threadedComment ref="F6" personId="{64E1BF1C-75A7-A14C-0463-5B2ACE7F6509}" id="{000900F5-000D-4EDA-94D6-008B00A0001F}" done="0">
    <text xml:space="preserve">sur:
МС
</text>
  </threadedComment>
  <threadedComment ref="BP6" dT="2026-05-26T05:49:26.47Z" personId="{F99118CC-0AAC-9625-E1A0-B694152D701E}" id="{02FD8472-F1C4-F0C2-60B9-3395153A7DEB}" done="0">
    <text xml:space="preserve">Ставер
</text>
  </threadedComment>
  <threadedComment ref="BT6" dT="2026-05-26T05:47:32.16Z" personId="{F99118CC-0AAC-9625-E1A0-B694152D701E}" id="{7465DE8B-76AC-86A1-7DEE-F48BE5D11476}" done="0">
    <text xml:space="preserve">Ставер
</text>
  </threadedComment>
  <threadedComment ref="BU6" dT="2026-05-26T05:44:26.43Z" personId="{F99118CC-0AAC-9625-E1A0-B694152D701E}" id="{F68BD222-A06E-CDBF-6BEB-CF50AC5E94F4}" done="0">
    <text xml:space="preserve">Ставер
</text>
  </threadedComment>
  <threadedComment ref="B7" personId="{64E1BF1C-75A7-A14C-0463-5B2ACE7F6509}" id="{001A002A-0010-487E-BA9E-00B00046002F}" done="0">
    <text xml:space="preserve">sur:
МЧ
</text>
  </threadedComment>
  <threadedComment ref="C7" personId="{64E1BF1C-75A7-A14C-0463-5B2ACE7F6509}" id="{003C0073-003C-4CED-9E88-00F7009C00BC}" done="0">
    <text xml:space="preserve">sur:
МЧ+АР
</text>
  </threadedComment>
  <threadedComment ref="D7" personId="{64E1BF1C-75A7-A14C-0463-5B2ACE7F6509}" id="{008A001E-009E-486A-9A5C-00DD001700EE}" done="0">
    <text xml:space="preserve">sur:
МЧ+АР
</text>
  </threadedComment>
  <threadedComment ref="E7" personId="{64E1BF1C-75A7-A14C-0463-5B2ACE7F6509}" id="{00E50023-00CA-4AB6-8EF5-00D500A9003F}" done="0">
    <text xml:space="preserve">sur:
АС
</text>
  </threadedComment>
  <threadedComment ref="F7" personId="{64E1BF1C-75A7-A14C-0463-5B2ACE7F6509}" id="{00A000A9-00A5-48E3-9C8D-007B00D30010}" done="0">
    <text xml:space="preserve">sur:
МС
</text>
  </threadedComment>
  <threadedComment ref="BP7" dT="2026-05-26T06:08:43.44Z" personId="{F99118CC-0AAC-9625-E1A0-B694152D701E}" id="{DCDBF670-F4B6-EAAF-2170-098A2C828275}" done="0">
    <text xml:space="preserve">Кошик, Гасанов
</text>
  </threadedComment>
  <threadedComment ref="BT7" dT="2026-06-26T04:17:12.66Z" personId="{F99118CC-0AAC-9625-E1A0-B694152D701E}" id="{6D23C66C-3DBA-A955-6A96-EF878D0394E3}" done="0">
    <text xml:space="preserve">Ставер
</text>
  </threadedComment>
  <threadedComment ref="E8" personId="{64E1BF1C-75A7-A14C-0463-5B2ACE7F6509}" id="{00CB006A-0085-47DD-982A-001100A00041}" done="0">
    <text xml:space="preserve">sur:
АС
</text>
  </threadedComment>
  <threadedComment ref="F8" personId="{64E1BF1C-75A7-A14C-0463-5B2ACE7F6509}" id="{00250091-00BE-4DE6-BA12-00A00047009C}" done="0">
    <text xml:space="preserve">sur:
АС
</text>
  </threadedComment>
  <threadedComment ref="BP8" dT="2026-05-26T06:08:43.44Z" personId="{F99118CC-0AAC-9625-E1A0-B694152D701E}" id="{C40C920B-F22E-EDE2-6D14-8650659E438D}" done="0">
    <text xml:space="preserve">Кошик, Гасанов
</text>
  </threadedComment>
  <threadedComment ref="BR8" dT="2026-06-24T11:00:27.38Z" personId="{F99118CC-0AAC-9625-E1A0-B694152D701E}" id="{CF35F684-2E1E-D153-0160-6A7C57A6D593}" done="0">
    <text xml:space="preserve">Кошие, Гасанов
</text>
  </threadedComment>
  <threadedComment ref="BT8" dT="2026-05-26T06:08:43.44Z" personId="{F99118CC-0AAC-9625-E1A0-B694152D701E}" id="{D5F8F225-5BA4-8293-2EDD-BA832E3B195F}" done="0">
    <text xml:space="preserve">Ставер
</text>
  </threadedComment>
  <threadedComment ref="BU8" dT="2026-06-26T04:39:09.50Z" personId="{F99118CC-0AAC-9625-E1A0-B694152D701E}" id="{972CEB12-3D8C-0650-1EC2-07980699E6E2}" done="0">
    <text xml:space="preserve">Ставер, Лычев, Ананьев
</text>
  </threadedComment>
  <threadedComment ref="D9" personId="{64E1BF1C-75A7-A14C-0463-5B2ACE7F6509}" id="{00400002-0061-4130-9874-003E00660067}" done="0">
    <text xml:space="preserve">sur:
АС
</text>
  </threadedComment>
  <threadedComment ref="BP9" dT="2026-05-26T06:24:40.59Z" personId="{F99118CC-0AAC-9625-E1A0-B694152D701E}" id="{C7FBC54C-94C2-4926-9F8B-7830A73CF4A4}" done="0">
    <text xml:space="preserve">Кошик, Гасанов
</text>
  </threadedComment>
  <threadedComment ref="BR9" dT="2026-05-28T12:14:23.05Z" personId="{F99118CC-0AAC-9625-E1A0-B694152D701E}" id="{FC1BBD68-50DD-C2A2-B2C0-F186DCA51F97}" done="0">
    <text xml:space="preserve">Кошик
</text>
  </threadedComment>
  <threadedComment ref="E10" personId="{64E1BF1C-75A7-A14C-0463-5B2ACE7F6509}" id="{006400B8-0078-4122-84E6-00CF007D0035}" done="0">
    <text xml:space="preserve">sur:
АС
</text>
  </threadedComment>
  <threadedComment ref="F10" personId="{64E1BF1C-75A7-A14C-0463-5B2ACE7F6509}" id="{00EB00C1-00FD-494F-9951-009200CA0018}" done="0">
    <text xml:space="preserve">sur:
МС
</text>
  </threadedComment>
  <threadedComment ref="BQ10" dT="2026-05-26T05:44:08.60Z" personId="{F99118CC-0AAC-9625-E1A0-B694152D701E}" id="{4E964E8C-682D-A3DA-FD4A-68F6E85BAAD3}" done="0">
    <text xml:space="preserve">Ставер
</text>
  </threadedComment>
  <threadedComment ref="BT10" dT="2026-05-26T06:24:40.59Z" personId="{F99118CC-0AAC-9625-E1A0-B694152D701E}" id="{AE330CE0-7D89-5678-42E8-533586FAF8E5}" done="0">
    <text xml:space="preserve">Лычев, Ананьев, Ставер
</text>
  </threadedComment>
</ThreadedComments>
</file>

<file path=xl/worksheets/_rels/sheet1.xml.rels><?xml version="1.0" encoding="UTF-8" standalone="yes"?><Relationships xmlns="http://schemas.openxmlformats.org/package/2006/relationships"><Relationship  Id="rId4" Type="http://schemas.openxmlformats.org/officeDocument/2006/relationships/vmlDrawing" Target="../drawings/vmlDrawing1.vml"/><Relationship  Id="rId3" Type="http://schemas.openxmlformats.org/officeDocument/2006/relationships/drawing" Target="../drawings/drawing1.xml"/><Relationship  Id="rId2" Type="http://schemas.openxmlformats.org/officeDocument/2006/relationships/comments" Target="../comments1.xml"/><Relationship  Id="rId1" Type="http://schemas.microsoft.com/office/2017/10/relationships/threadedComment" Target="../threadedComments/threadedComment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GridLines="1" showRowColHeaders="1" showZeros="1" showRuler="1" view="normal" topLeftCell="BR1" zoomScale="100" workbookViewId="0">
      <selection activeCell="AT6" activeCellId="0" sqref="AT6"/>
    </sheetView>
  </sheetViews>
  <sheetFormatPr defaultColWidth="9.1484375" defaultRowHeight="14.25"/>
  <cols>
    <col customWidth="1" min="1" max="2" style="2" width="30.710000000000001"/>
    <col customWidth="1" min="3" max="4" style="2" width="35.710000000000001"/>
    <col customWidth="1" min="5" max="6" style="2" width="30.710000000000001"/>
    <col customWidth="1" min="7" max="8" style="2" width="35.710000000000001"/>
    <col customWidth="1" min="9" max="10" style="2" width="30.710000000000001"/>
    <col customWidth="1" min="11" max="11" style="2" width="35.710000000000001"/>
    <col customWidth="1" min="12" max="13" style="2" width="30.710000000000001"/>
    <col customWidth="1" min="14" max="15" style="2" width="35.710000000000001"/>
    <col customWidth="1" min="16" max="39" style="3" width="35.710000000000001"/>
    <col customWidth="1" min="40" max="40" style="4" width="35.710000000000001"/>
    <col customWidth="1" min="41" max="43" style="3" width="35.710000000000001"/>
    <col customWidth="1" min="44" max="44" style="5" width="35.710000000000001"/>
    <col customWidth="1" min="45" max="46" style="2" width="35.710000000000001"/>
    <col customWidth="1" min="47" max="47" style="6" width="35.710000000000001"/>
    <col customWidth="1" min="48" max="67" style="2" width="35.710000000000001"/>
    <col customWidth="1" min="68" max="71" style="1" width="35.7109375"/>
    <col customWidth="1" min="72" max="72" style="7" width="35.7109375"/>
    <col customWidth="1" min="73" max="75" style="1" width="35.7109375"/>
    <col customWidth="0" min="76" max="16384" style="1" width="9.1400000000000006"/>
  </cols>
  <sheetData>
    <row r="1" ht="19.5" customHeight="1">
      <c r="A1" s="8" t="s">
        <v>0</v>
      </c>
      <c r="B1" s="8"/>
      <c r="C1" s="8"/>
      <c r="D1" s="8"/>
      <c r="E1" s="9" t="s">
        <v>1</v>
      </c>
      <c r="F1" s="9"/>
      <c r="G1" s="9"/>
      <c r="H1" s="9"/>
      <c r="I1" s="10" t="s">
        <v>2</v>
      </c>
      <c r="J1" s="10"/>
      <c r="K1" s="10"/>
      <c r="L1" s="11" t="s">
        <v>3</v>
      </c>
      <c r="M1" s="11"/>
      <c r="N1" s="11"/>
      <c r="O1" s="12"/>
      <c r="P1" s="13" t="s">
        <v>4</v>
      </c>
      <c r="Q1" s="13"/>
      <c r="R1" s="13"/>
      <c r="S1" s="13"/>
      <c r="T1" s="14" t="s">
        <v>5</v>
      </c>
      <c r="U1" s="14"/>
      <c r="V1" s="14"/>
      <c r="W1" s="14"/>
      <c r="X1" s="15">
        <v>45778</v>
      </c>
      <c r="Y1" s="15"/>
      <c r="Z1" s="15"/>
      <c r="AA1" s="15"/>
      <c r="AB1" s="16" t="s">
        <v>6</v>
      </c>
      <c r="AC1" s="16"/>
      <c r="AD1" s="16"/>
      <c r="AE1" s="16"/>
      <c r="AF1" s="17" t="s">
        <v>7</v>
      </c>
      <c r="AG1" s="17"/>
      <c r="AH1" s="17"/>
      <c r="AI1" s="17"/>
      <c r="AJ1" s="18" t="s">
        <v>8</v>
      </c>
      <c r="AK1" s="18"/>
      <c r="AL1" s="18"/>
      <c r="AM1" s="18"/>
      <c r="AN1" s="19" t="s">
        <v>9</v>
      </c>
      <c r="AO1" s="19"/>
      <c r="AP1" s="19"/>
      <c r="AQ1" s="19"/>
      <c r="AR1" s="20" t="s">
        <v>10</v>
      </c>
      <c r="AS1" s="20"/>
      <c r="AT1" s="20"/>
      <c r="AU1" s="21"/>
      <c r="AV1" s="22" t="s">
        <v>11</v>
      </c>
      <c r="AW1" s="22"/>
      <c r="AX1" s="22"/>
      <c r="AY1" s="22"/>
      <c r="AZ1" s="23" t="s">
        <v>12</v>
      </c>
      <c r="BA1" s="23"/>
      <c r="BB1" s="23"/>
      <c r="BC1" s="23"/>
      <c r="BD1" s="24" t="s">
        <v>13</v>
      </c>
      <c r="BE1" s="24"/>
      <c r="BF1" s="24"/>
      <c r="BG1" s="24"/>
      <c r="BH1" s="25" t="s">
        <v>14</v>
      </c>
      <c r="BI1" s="25"/>
      <c r="BJ1" s="25"/>
      <c r="BK1" s="25"/>
      <c r="BL1" s="26" t="s">
        <v>15</v>
      </c>
      <c r="BM1" s="26"/>
      <c r="BN1" s="26"/>
      <c r="BO1" s="26"/>
      <c r="BP1" s="27" t="s">
        <v>16</v>
      </c>
      <c r="BQ1" s="28"/>
      <c r="BR1" s="28"/>
      <c r="BS1" s="28"/>
      <c r="BT1" s="29" t="s">
        <v>17</v>
      </c>
      <c r="BU1" s="30"/>
      <c r="BV1" s="30"/>
      <c r="BW1" s="30"/>
    </row>
    <row r="2" ht="15">
      <c r="A2" s="31" t="s">
        <v>18</v>
      </c>
      <c r="B2" s="32" t="s">
        <v>19</v>
      </c>
      <c r="C2" s="32" t="s">
        <v>20</v>
      </c>
      <c r="D2" s="32" t="s">
        <v>21</v>
      </c>
      <c r="E2" s="33" t="s">
        <v>22</v>
      </c>
      <c r="F2" s="34" t="s">
        <v>23</v>
      </c>
      <c r="G2" s="34" t="s">
        <v>24</v>
      </c>
      <c r="H2" s="35" t="s">
        <v>25</v>
      </c>
      <c r="I2" s="36" t="s">
        <v>26</v>
      </c>
      <c r="J2" s="37" t="s">
        <v>27</v>
      </c>
      <c r="K2" s="37" t="s">
        <v>28</v>
      </c>
      <c r="L2" s="38" t="s">
        <v>29</v>
      </c>
      <c r="M2" s="39" t="s">
        <v>30</v>
      </c>
      <c r="N2" s="39" t="s">
        <v>31</v>
      </c>
      <c r="O2" s="39" t="s">
        <v>32</v>
      </c>
      <c r="P2" s="40" t="s">
        <v>33</v>
      </c>
      <c r="Q2" s="41" t="s">
        <v>34</v>
      </c>
      <c r="R2" s="41" t="s">
        <v>35</v>
      </c>
      <c r="S2" s="41" t="s">
        <v>36</v>
      </c>
      <c r="T2" s="33" t="s">
        <v>37</v>
      </c>
      <c r="U2" s="34" t="s">
        <v>38</v>
      </c>
      <c r="V2" s="34" t="s">
        <v>39</v>
      </c>
      <c r="W2" s="34" t="s">
        <v>40</v>
      </c>
      <c r="X2" s="42" t="s">
        <v>41</v>
      </c>
      <c r="Y2" s="43" t="s">
        <v>42</v>
      </c>
      <c r="Z2" s="43" t="s">
        <v>43</v>
      </c>
      <c r="AA2" s="43" t="s">
        <v>44</v>
      </c>
      <c r="AB2" s="44" t="s">
        <v>45</v>
      </c>
      <c r="AC2" s="45" t="s">
        <v>46</v>
      </c>
      <c r="AD2" s="45" t="s">
        <v>47</v>
      </c>
      <c r="AE2" s="45" t="s">
        <v>48</v>
      </c>
      <c r="AF2" s="46" t="s">
        <v>49</v>
      </c>
      <c r="AG2" s="47" t="s">
        <v>50</v>
      </c>
      <c r="AH2" s="47" t="s">
        <v>51</v>
      </c>
      <c r="AI2" s="47" t="s">
        <v>52</v>
      </c>
      <c r="AJ2" s="48" t="s">
        <v>53</v>
      </c>
      <c r="AK2" s="49" t="s">
        <v>54</v>
      </c>
      <c r="AL2" s="49" t="s">
        <v>55</v>
      </c>
      <c r="AM2" s="49" t="s">
        <v>56</v>
      </c>
      <c r="AN2" s="50" t="s">
        <v>57</v>
      </c>
      <c r="AO2" s="51" t="s">
        <v>58</v>
      </c>
      <c r="AP2" s="51" t="s">
        <v>59</v>
      </c>
      <c r="AQ2" s="51" t="s">
        <v>60</v>
      </c>
      <c r="AR2" s="52" t="s">
        <v>61</v>
      </c>
      <c r="AS2" s="53" t="s">
        <v>62</v>
      </c>
      <c r="AT2" s="53" t="s">
        <v>63</v>
      </c>
      <c r="AU2" s="54" t="s">
        <v>64</v>
      </c>
      <c r="AV2" s="55" t="s">
        <v>65</v>
      </c>
      <c r="AW2" s="56" t="s">
        <v>66</v>
      </c>
      <c r="AX2" s="56" t="s">
        <v>67</v>
      </c>
      <c r="AY2" s="56" t="s">
        <v>68</v>
      </c>
      <c r="AZ2" s="57" t="s">
        <v>69</v>
      </c>
      <c r="BA2" s="58" t="s">
        <v>70</v>
      </c>
      <c r="BB2" s="58" t="s">
        <v>71</v>
      </c>
      <c r="BC2" s="58" t="s">
        <v>72</v>
      </c>
      <c r="BD2" s="59" t="s">
        <v>73</v>
      </c>
      <c r="BE2" s="60" t="s">
        <v>74</v>
      </c>
      <c r="BF2" s="60" t="s">
        <v>75</v>
      </c>
      <c r="BG2" s="60" t="s">
        <v>76</v>
      </c>
      <c r="BH2" s="61" t="s">
        <v>77</v>
      </c>
      <c r="BI2" s="62" t="s">
        <v>78</v>
      </c>
      <c r="BJ2" s="62" t="s">
        <v>79</v>
      </c>
      <c r="BK2" s="62" t="s">
        <v>80</v>
      </c>
      <c r="BL2" s="42" t="s">
        <v>81</v>
      </c>
      <c r="BM2" s="43" t="s">
        <v>82</v>
      </c>
      <c r="BN2" s="43" t="s">
        <v>83</v>
      </c>
      <c r="BO2" s="43" t="s">
        <v>84</v>
      </c>
      <c r="BP2" s="59" t="s">
        <v>85</v>
      </c>
      <c r="BQ2" s="60" t="s">
        <v>86</v>
      </c>
      <c r="BR2" s="60" t="s">
        <v>87</v>
      </c>
      <c r="BS2" s="60" t="s">
        <v>88</v>
      </c>
      <c r="BT2" s="63" t="s">
        <v>89</v>
      </c>
      <c r="BU2" s="64" t="s">
        <v>90</v>
      </c>
      <c r="BV2" s="64" t="s">
        <v>91</v>
      </c>
      <c r="BW2" s="64" t="s">
        <v>92</v>
      </c>
    </row>
    <row r="3" ht="54" customHeight="1">
      <c r="A3" s="65" t="s">
        <v>93</v>
      </c>
      <c r="B3" s="66" t="s">
        <v>94</v>
      </c>
      <c r="C3" s="66" t="s">
        <v>95</v>
      </c>
      <c r="D3" s="66"/>
      <c r="E3" s="67" t="s">
        <v>96</v>
      </c>
      <c r="F3" s="67"/>
      <c r="G3" s="66" t="s">
        <v>97</v>
      </c>
      <c r="H3" s="66"/>
      <c r="I3" s="68" t="s">
        <v>98</v>
      </c>
      <c r="J3" s="68"/>
      <c r="K3" s="66" t="s">
        <v>99</v>
      </c>
      <c r="L3" s="68" t="s">
        <v>100</v>
      </c>
      <c r="M3" s="68"/>
      <c r="N3" s="66" t="s">
        <v>101</v>
      </c>
      <c r="O3" s="66" t="s">
        <v>102</v>
      </c>
      <c r="P3" s="68" t="s">
        <v>103</v>
      </c>
      <c r="Q3" s="69" t="s">
        <v>104</v>
      </c>
      <c r="R3" s="66" t="s">
        <v>105</v>
      </c>
      <c r="S3" s="66" t="s">
        <v>106</v>
      </c>
      <c r="T3" s="68" t="s">
        <v>107</v>
      </c>
      <c r="U3" s="69" t="s">
        <v>108</v>
      </c>
      <c r="V3" s="66" t="s">
        <v>109</v>
      </c>
      <c r="W3" s="66" t="s">
        <v>110</v>
      </c>
      <c r="X3" s="68" t="s">
        <v>111</v>
      </c>
      <c r="Y3" s="69"/>
      <c r="Z3" s="66" t="s">
        <v>112</v>
      </c>
      <c r="AA3" s="66" t="s">
        <v>113</v>
      </c>
      <c r="AB3" s="68" t="s">
        <v>114</v>
      </c>
      <c r="AC3" s="69" t="s">
        <v>115</v>
      </c>
      <c r="AD3" s="66" t="s">
        <v>116</v>
      </c>
      <c r="AE3" s="66" t="s">
        <v>117</v>
      </c>
      <c r="AF3" s="68" t="s">
        <v>114</v>
      </c>
      <c r="AG3" s="69" t="s">
        <v>115</v>
      </c>
      <c r="AH3" s="66" t="s">
        <v>116</v>
      </c>
      <c r="AI3" s="66" t="s">
        <v>117</v>
      </c>
      <c r="AJ3" s="68" t="s">
        <v>111</v>
      </c>
      <c r="AK3" s="68" t="s">
        <v>118</v>
      </c>
      <c r="AL3" s="66" t="s">
        <v>119</v>
      </c>
      <c r="AM3" s="68" t="s">
        <v>120</v>
      </c>
      <c r="AN3" s="70" t="s">
        <v>111</v>
      </c>
      <c r="AO3" s="68" t="s">
        <v>121</v>
      </c>
      <c r="AP3" s="66" t="s">
        <v>122</v>
      </c>
      <c r="AQ3" s="66" t="s">
        <v>123</v>
      </c>
      <c r="AR3" s="70"/>
      <c r="AS3" s="68"/>
      <c r="AT3" s="66" t="s">
        <v>124</v>
      </c>
      <c r="AU3" s="71" t="s">
        <v>125</v>
      </c>
      <c r="AV3" s="66"/>
      <c r="AW3" s="66"/>
      <c r="AX3" s="66"/>
      <c r="AY3" s="66"/>
      <c r="AZ3" s="69" t="s">
        <v>126</v>
      </c>
      <c r="BA3" s="66" t="s">
        <v>127</v>
      </c>
      <c r="BB3" s="66" t="s">
        <v>128</v>
      </c>
      <c r="BC3" s="66" t="s">
        <v>129</v>
      </c>
      <c r="BD3" s="68" t="s">
        <v>130</v>
      </c>
      <c r="BE3" s="68"/>
      <c r="BF3" s="68"/>
      <c r="BG3" s="66" t="s">
        <v>131</v>
      </c>
      <c r="BH3" s="69" t="s">
        <v>132</v>
      </c>
      <c r="BI3" s="69" t="s">
        <v>133</v>
      </c>
      <c r="BJ3" s="69" t="s">
        <v>134</v>
      </c>
      <c r="BK3" s="72" t="s">
        <v>135</v>
      </c>
      <c r="BL3" s="69" t="s">
        <v>136</v>
      </c>
      <c r="BM3" s="69" t="s">
        <v>137</v>
      </c>
      <c r="BN3" s="69"/>
      <c r="BO3" s="66"/>
      <c r="BP3" s="73" t="s">
        <v>138</v>
      </c>
      <c r="BQ3" s="74" t="s">
        <v>136</v>
      </c>
      <c r="BR3" s="74"/>
      <c r="BS3" s="75" t="s">
        <v>139</v>
      </c>
      <c r="BT3" s="76" t="s">
        <v>140</v>
      </c>
      <c r="BU3" s="77" t="s">
        <v>141</v>
      </c>
      <c r="BV3" s="78"/>
      <c r="BW3" s="66"/>
    </row>
    <row r="4" ht="54" customHeight="1">
      <c r="A4" s="65" t="s">
        <v>142</v>
      </c>
      <c r="B4" s="66" t="s">
        <v>143</v>
      </c>
      <c r="C4" s="72" t="s">
        <v>144</v>
      </c>
      <c r="D4" s="72"/>
      <c r="E4" s="72"/>
      <c r="F4" s="72"/>
      <c r="G4" s="72"/>
      <c r="H4" s="72"/>
      <c r="I4" s="72"/>
      <c r="J4" s="72"/>
      <c r="K4" s="79" t="s">
        <v>145</v>
      </c>
      <c r="L4" s="72"/>
      <c r="M4" s="72" t="s">
        <v>146</v>
      </c>
      <c r="N4" s="79" t="s">
        <v>147</v>
      </c>
      <c r="O4" s="80" t="s">
        <v>148</v>
      </c>
      <c r="P4" s="72" t="s">
        <v>149</v>
      </c>
      <c r="Q4" s="72" t="s">
        <v>150</v>
      </c>
      <c r="R4" s="68" t="s">
        <v>151</v>
      </c>
      <c r="S4" s="79" t="s">
        <v>152</v>
      </c>
      <c r="T4" s="72" t="s">
        <v>153</v>
      </c>
      <c r="U4" s="72" t="s">
        <v>154</v>
      </c>
      <c r="V4" s="69" t="s">
        <v>155</v>
      </c>
      <c r="W4" s="79"/>
      <c r="X4" s="72" t="s">
        <v>156</v>
      </c>
      <c r="Y4" s="72"/>
      <c r="Z4" s="68" t="s">
        <v>157</v>
      </c>
      <c r="AA4" s="68"/>
      <c r="AB4" s="68" t="s">
        <v>111</v>
      </c>
      <c r="AC4" s="72" t="s">
        <v>158</v>
      </c>
      <c r="AD4" s="69" t="s">
        <v>159</v>
      </c>
      <c r="AE4" s="69"/>
      <c r="AF4" s="68" t="s">
        <v>111</v>
      </c>
      <c r="AG4" s="72" t="s">
        <v>158</v>
      </c>
      <c r="AH4" s="69" t="s">
        <v>159</v>
      </c>
      <c r="AJ4" s="66" t="s">
        <v>160</v>
      </c>
      <c r="AK4" s="66" t="s">
        <v>161</v>
      </c>
      <c r="AL4" s="66" t="s">
        <v>162</v>
      </c>
      <c r="AM4" s="68" t="s">
        <v>163</v>
      </c>
      <c r="AN4" s="70" t="s">
        <v>164</v>
      </c>
      <c r="AO4" s="66"/>
      <c r="AP4" s="68" t="s">
        <v>165</v>
      </c>
      <c r="AQ4" s="66" t="s">
        <v>166</v>
      </c>
      <c r="AR4" s="70"/>
      <c r="AS4" s="66"/>
      <c r="AT4" s="68" t="s">
        <v>167</v>
      </c>
      <c r="AU4" s="71" t="s">
        <v>168</v>
      </c>
      <c r="AV4" s="81" t="s">
        <v>169</v>
      </c>
      <c r="AW4" s="81"/>
      <c r="AX4" s="81"/>
      <c r="AY4" s="81"/>
      <c r="AZ4" s="69" t="s">
        <v>170</v>
      </c>
      <c r="BA4" s="66" t="s">
        <v>171</v>
      </c>
      <c r="BB4" s="69" t="s">
        <v>172</v>
      </c>
      <c r="BC4" s="69" t="s">
        <v>173</v>
      </c>
      <c r="BD4" s="69" t="s">
        <v>174</v>
      </c>
      <c r="BE4" s="69" t="s">
        <v>175</v>
      </c>
      <c r="BF4" s="69" t="s">
        <v>176</v>
      </c>
      <c r="BG4" s="69" t="s">
        <v>177</v>
      </c>
      <c r="BH4" s="69" t="s">
        <v>178</v>
      </c>
      <c r="BI4" s="69"/>
      <c r="BJ4" s="69" t="s">
        <v>179</v>
      </c>
      <c r="BK4" s="69" t="s">
        <v>180</v>
      </c>
      <c r="BL4" s="69" t="s">
        <v>178</v>
      </c>
      <c r="BM4" s="69" t="s">
        <v>181</v>
      </c>
      <c r="BN4" s="69"/>
      <c r="BO4" s="69"/>
      <c r="BP4" s="74" t="s">
        <v>178</v>
      </c>
      <c r="BQ4" s="1" t="s">
        <v>182</v>
      </c>
      <c r="BR4" s="69"/>
      <c r="BS4" s="74" t="s">
        <v>183</v>
      </c>
      <c r="BT4" s="82" t="s">
        <v>184</v>
      </c>
      <c r="BU4" s="83" t="s">
        <v>185</v>
      </c>
      <c r="BV4" s="1"/>
      <c r="BW4" s="84" t="s">
        <v>186</v>
      </c>
    </row>
    <row r="5" ht="54" customHeight="1">
      <c r="A5" s="65" t="s">
        <v>187</v>
      </c>
      <c r="B5" s="68" t="s">
        <v>188</v>
      </c>
      <c r="C5" s="80" t="s">
        <v>189</v>
      </c>
      <c r="D5" s="69" t="s">
        <v>190</v>
      </c>
      <c r="E5" s="68" t="s">
        <v>191</v>
      </c>
      <c r="F5" s="68"/>
      <c r="G5" s="68" t="s">
        <v>192</v>
      </c>
      <c r="H5" s="68"/>
      <c r="I5" s="85" t="s">
        <v>193</v>
      </c>
      <c r="J5" s="69" t="s">
        <v>194</v>
      </c>
      <c r="K5" s="72" t="s">
        <v>195</v>
      </c>
      <c r="L5" s="85"/>
      <c r="M5" s="69" t="s">
        <v>196</v>
      </c>
      <c r="N5" s="72"/>
      <c r="O5" s="72"/>
      <c r="P5" s="85" t="s">
        <v>197</v>
      </c>
      <c r="Q5" s="69"/>
      <c r="R5" s="72" t="s">
        <v>198</v>
      </c>
      <c r="S5" s="72" t="s">
        <v>199</v>
      </c>
      <c r="T5" s="85" t="s">
        <v>200</v>
      </c>
      <c r="U5" s="69" t="s">
        <v>201</v>
      </c>
      <c r="V5" s="72" t="s">
        <v>202</v>
      </c>
      <c r="W5" s="72"/>
      <c r="X5" s="68" t="s">
        <v>203</v>
      </c>
      <c r="Y5" s="68"/>
      <c r="Z5" s="68" t="s">
        <v>204</v>
      </c>
      <c r="AA5" s="68"/>
      <c r="AB5" s="68" t="s">
        <v>205</v>
      </c>
      <c r="AC5" s="68"/>
      <c r="AD5" s="68"/>
      <c r="AE5" s="68"/>
      <c r="AF5" s="68" t="s">
        <v>205</v>
      </c>
      <c r="AG5" s="68"/>
      <c r="AH5" s="68"/>
      <c r="AI5" s="68"/>
      <c r="AJ5" s="86" t="s">
        <v>206</v>
      </c>
      <c r="AK5" s="86"/>
      <c r="AL5" s="86"/>
      <c r="AM5" s="86"/>
      <c r="AN5" s="87"/>
      <c r="AO5" s="68" t="s">
        <v>207</v>
      </c>
      <c r="AP5" s="68"/>
      <c r="AQ5" s="68"/>
      <c r="AR5" s="70"/>
      <c r="AS5" s="68"/>
      <c r="AT5" s="68"/>
      <c r="AU5" s="88" t="s">
        <v>208</v>
      </c>
      <c r="AV5" s="69"/>
      <c r="AW5" s="69"/>
      <c r="AX5" s="69" t="s">
        <v>209</v>
      </c>
      <c r="AY5" s="69"/>
      <c r="AZ5" s="69" t="s">
        <v>210</v>
      </c>
      <c r="BA5" s="69"/>
      <c r="BB5" s="69" t="s">
        <v>211</v>
      </c>
      <c r="BC5" s="69" t="s">
        <v>212</v>
      </c>
      <c r="BD5" s="69"/>
      <c r="BE5" s="69" t="s">
        <v>213</v>
      </c>
      <c r="BF5" s="69" t="s">
        <v>214</v>
      </c>
      <c r="BG5" s="69" t="s">
        <v>215</v>
      </c>
      <c r="BH5" s="69"/>
      <c r="BI5" s="69"/>
      <c r="BJ5" s="69"/>
      <c r="BK5" s="69" t="s">
        <v>216</v>
      </c>
      <c r="BL5" s="89" t="s">
        <v>217</v>
      </c>
      <c r="BM5" s="89"/>
      <c r="BN5" s="69"/>
      <c r="BO5" s="69"/>
      <c r="BP5" s="74" t="s">
        <v>218</v>
      </c>
      <c r="BQ5" s="90" t="s">
        <v>219</v>
      </c>
      <c r="BR5" s="91" t="s">
        <v>220</v>
      </c>
      <c r="BS5" s="74" t="s">
        <v>221</v>
      </c>
      <c r="BT5" s="77" t="s">
        <v>222</v>
      </c>
      <c r="BU5" s="78"/>
      <c r="BV5" s="92" t="s">
        <v>223</v>
      </c>
      <c r="BW5" s="92" t="s">
        <v>224</v>
      </c>
    </row>
    <row r="6" ht="54" customHeight="1">
      <c r="A6" s="93" t="s">
        <v>225</v>
      </c>
      <c r="B6" s="68" t="s">
        <v>226</v>
      </c>
      <c r="C6" s="66" t="s">
        <v>227</v>
      </c>
      <c r="D6" s="66" t="s">
        <v>228</v>
      </c>
      <c r="E6" s="66" t="s">
        <v>229</v>
      </c>
      <c r="F6" s="94"/>
      <c r="G6" s="68" t="s">
        <v>230</v>
      </c>
      <c r="H6" s="68"/>
      <c r="I6" s="95"/>
      <c r="J6" s="68" t="s">
        <v>231</v>
      </c>
      <c r="K6" s="68" t="s">
        <v>232</v>
      </c>
      <c r="L6" s="95"/>
      <c r="M6" s="68"/>
      <c r="N6" s="68"/>
      <c r="O6" s="68"/>
      <c r="P6" s="72" t="s">
        <v>233</v>
      </c>
      <c r="Q6" s="68" t="s">
        <v>234</v>
      </c>
      <c r="R6" s="68" t="s">
        <v>235</v>
      </c>
      <c r="S6" s="68" t="s">
        <v>236</v>
      </c>
      <c r="T6" s="85" t="s">
        <v>237</v>
      </c>
      <c r="U6" s="68" t="s">
        <v>170</v>
      </c>
      <c r="V6" s="68" t="s">
        <v>238</v>
      </c>
      <c r="W6" s="68"/>
      <c r="X6" s="68" t="s">
        <v>239</v>
      </c>
      <c r="Y6" s="68"/>
      <c r="Z6" s="68"/>
      <c r="AA6" s="68"/>
      <c r="AB6" s="68" t="s">
        <v>240</v>
      </c>
      <c r="AC6" s="68"/>
      <c r="AD6" s="68"/>
      <c r="AE6" s="69"/>
      <c r="AF6" s="68" t="s">
        <v>240</v>
      </c>
      <c r="AG6" s="68"/>
      <c r="AH6" s="68"/>
      <c r="AI6" s="69" t="s">
        <v>241</v>
      </c>
      <c r="AJ6" s="69"/>
      <c r="AK6" s="69"/>
      <c r="AL6" s="69"/>
      <c r="AM6" s="68" t="s">
        <v>242</v>
      </c>
      <c r="AN6" s="70"/>
      <c r="AO6" s="68"/>
      <c r="AP6" s="68" t="s">
        <v>243</v>
      </c>
      <c r="AQ6" s="68" t="s">
        <v>244</v>
      </c>
      <c r="AR6" s="70"/>
      <c r="AS6" s="68"/>
      <c r="AT6" s="68"/>
      <c r="AU6" s="88" t="s">
        <v>245</v>
      </c>
      <c r="AV6" s="68"/>
      <c r="AW6" s="68"/>
      <c r="AX6" s="69" t="s">
        <v>246</v>
      </c>
      <c r="AY6" s="68"/>
      <c r="AZ6" s="68"/>
      <c r="BA6" s="68"/>
      <c r="BB6" s="69"/>
      <c r="BC6" s="68"/>
      <c r="BD6" s="68"/>
      <c r="BE6" s="68" t="s">
        <v>247</v>
      </c>
      <c r="BF6" s="68"/>
      <c r="BG6" s="68"/>
      <c r="BH6" s="68"/>
      <c r="BI6" s="69"/>
      <c r="BJ6" s="96" t="s">
        <v>248</v>
      </c>
      <c r="BK6" s="96"/>
      <c r="BL6" s="96"/>
      <c r="BM6" s="96"/>
      <c r="BN6" s="96"/>
      <c r="BO6" s="69"/>
      <c r="BP6" s="74" t="s">
        <v>249</v>
      </c>
      <c r="BQ6" s="85" t="s">
        <v>250</v>
      </c>
      <c r="BR6" s="97" t="s">
        <v>251</v>
      </c>
      <c r="BS6" s="97" t="s">
        <v>252</v>
      </c>
      <c r="BT6" s="82" t="s">
        <v>253</v>
      </c>
      <c r="BU6" s="98" t="s">
        <v>254</v>
      </c>
      <c r="BV6" s="99"/>
      <c r="BW6" s="84" t="s">
        <v>255</v>
      </c>
    </row>
    <row r="7" ht="54" customHeight="1">
      <c r="A7" s="65" t="s">
        <v>256</v>
      </c>
      <c r="B7" s="100" t="s">
        <v>257</v>
      </c>
      <c r="C7" s="66" t="s">
        <v>258</v>
      </c>
      <c r="D7" s="66" t="s">
        <v>259</v>
      </c>
      <c r="E7" s="68" t="s">
        <v>260</v>
      </c>
      <c r="F7" s="101"/>
      <c r="G7" s="101"/>
      <c r="H7" s="66" t="s">
        <v>261</v>
      </c>
      <c r="I7" s="95"/>
      <c r="J7" s="101" t="s">
        <v>262</v>
      </c>
      <c r="K7" s="101"/>
      <c r="L7" s="95"/>
      <c r="M7" s="101"/>
      <c r="N7" s="101"/>
      <c r="O7" s="101"/>
      <c r="P7" s="66" t="s">
        <v>263</v>
      </c>
      <c r="Q7" s="66"/>
      <c r="R7" s="66"/>
      <c r="S7" s="66"/>
      <c r="T7" s="102"/>
      <c r="U7" s="102" t="s">
        <v>264</v>
      </c>
      <c r="V7" s="102" t="s">
        <v>265</v>
      </c>
      <c r="W7" s="102"/>
      <c r="X7" s="102" t="s">
        <v>266</v>
      </c>
      <c r="Y7" s="102"/>
      <c r="Z7" s="102"/>
      <c r="AA7" s="102" t="s">
        <v>267</v>
      </c>
      <c r="AB7" s="66" t="s">
        <v>268</v>
      </c>
      <c r="AC7" s="66"/>
      <c r="AD7" s="66"/>
      <c r="AE7" s="66"/>
      <c r="AF7" s="66" t="s">
        <v>268</v>
      </c>
      <c r="AG7" s="66"/>
      <c r="AH7" s="66"/>
      <c r="AI7" s="66"/>
      <c r="AJ7" s="66"/>
      <c r="AK7" s="66"/>
      <c r="AL7" s="66"/>
      <c r="AM7" s="66"/>
      <c r="AN7" s="103"/>
      <c r="AO7" s="66"/>
      <c r="AP7" s="66"/>
      <c r="AQ7" s="66"/>
      <c r="AR7" s="103"/>
      <c r="AS7" s="66"/>
      <c r="AT7" s="66"/>
      <c r="AU7" s="71" t="s">
        <v>269</v>
      </c>
      <c r="AV7" s="66"/>
      <c r="AW7" s="66"/>
      <c r="AX7" s="66"/>
      <c r="AY7" s="66"/>
      <c r="AZ7" s="66"/>
      <c r="BA7" s="66"/>
      <c r="BB7" s="66"/>
      <c r="BC7" s="66"/>
      <c r="BD7" s="66"/>
      <c r="BE7" s="66"/>
      <c r="BF7" s="66"/>
      <c r="BG7" s="66"/>
      <c r="BH7" s="66"/>
      <c r="BI7" s="66"/>
      <c r="BJ7" s="66"/>
      <c r="BK7" s="66"/>
      <c r="BL7" s="66"/>
      <c r="BM7" s="66"/>
      <c r="BN7" s="66"/>
      <c r="BO7" s="66"/>
      <c r="BP7" s="104" t="s">
        <v>270</v>
      </c>
      <c r="BQ7" s="105" t="s">
        <v>271</v>
      </c>
      <c r="BR7" s="105" t="s">
        <v>272</v>
      </c>
      <c r="BS7" s="105"/>
      <c r="BT7" s="106" t="s">
        <v>273</v>
      </c>
      <c r="BU7" s="92"/>
      <c r="BV7" s="92" t="s">
        <v>274</v>
      </c>
      <c r="BW7" s="66" t="s">
        <v>275</v>
      </c>
    </row>
    <row r="8" ht="54" customHeight="1">
      <c r="A8" s="107"/>
      <c r="B8" s="66"/>
      <c r="C8" s="72"/>
      <c r="D8" s="66" t="s">
        <v>276</v>
      </c>
      <c r="E8" s="66"/>
      <c r="F8" s="68" t="s">
        <v>277</v>
      </c>
      <c r="G8" s="68"/>
      <c r="H8" s="68"/>
      <c r="I8" s="66"/>
      <c r="J8" s="102" t="s">
        <v>278</v>
      </c>
      <c r="K8" s="66" t="s">
        <v>279</v>
      </c>
      <c r="L8" s="66"/>
      <c r="M8" s="102"/>
      <c r="N8" s="66"/>
      <c r="O8" s="66"/>
      <c r="P8" s="66"/>
      <c r="Q8" s="102"/>
      <c r="R8" s="66"/>
      <c r="S8" s="66"/>
      <c r="T8" s="66"/>
      <c r="U8" s="102" t="s">
        <v>280</v>
      </c>
      <c r="V8" s="66" t="s">
        <v>281</v>
      </c>
      <c r="W8" s="66"/>
      <c r="X8" s="66"/>
      <c r="Y8" s="102"/>
      <c r="Z8" s="66"/>
      <c r="AA8" s="66"/>
      <c r="AB8" s="66" t="s">
        <v>282</v>
      </c>
      <c r="AC8" s="102"/>
      <c r="AD8" s="66"/>
      <c r="AE8" s="66" t="s">
        <v>283</v>
      </c>
      <c r="AF8" s="66" t="s">
        <v>282</v>
      </c>
      <c r="AG8" s="102"/>
      <c r="AH8" s="66" t="s">
        <v>284</v>
      </c>
      <c r="AI8" s="66"/>
      <c r="AJ8" s="66"/>
      <c r="AK8" s="66"/>
      <c r="AL8" s="66"/>
      <c r="AM8" s="66"/>
      <c r="AN8" s="103"/>
      <c r="AO8" s="66"/>
      <c r="AP8" s="66"/>
      <c r="AQ8" s="66"/>
      <c r="AR8" s="103"/>
      <c r="AS8" s="66"/>
      <c r="AT8" s="66"/>
      <c r="AU8" s="71" t="s">
        <v>285</v>
      </c>
      <c r="AV8" s="66"/>
      <c r="AW8" s="66"/>
      <c r="AX8" s="66"/>
      <c r="AY8" s="66"/>
      <c r="AZ8" s="66"/>
      <c r="BA8" s="66"/>
      <c r="BB8" s="66"/>
      <c r="BC8" s="66"/>
      <c r="BD8" s="66"/>
      <c r="BE8" s="66"/>
      <c r="BF8" s="66"/>
      <c r="BG8" s="66"/>
      <c r="BH8" s="66"/>
      <c r="BI8" s="66"/>
      <c r="BJ8" s="66"/>
      <c r="BK8" s="66"/>
      <c r="BL8" s="66"/>
      <c r="BM8" s="66"/>
      <c r="BN8" s="66"/>
      <c r="BO8" s="66"/>
      <c r="BP8" s="103" t="s">
        <v>286</v>
      </c>
      <c r="BQ8" s="66"/>
      <c r="BR8" s="105" t="s">
        <v>287</v>
      </c>
      <c r="BS8" s="105"/>
      <c r="BT8" s="82" t="s">
        <v>288</v>
      </c>
      <c r="BU8" s="78"/>
      <c r="BV8" s="66"/>
      <c r="BW8" s="66"/>
    </row>
    <row r="9" ht="54" customHeight="1">
      <c r="A9" s="107"/>
      <c r="B9" s="100"/>
      <c r="C9" s="66"/>
      <c r="D9" s="68" t="s">
        <v>289</v>
      </c>
      <c r="E9" s="68"/>
      <c r="F9" s="68" t="s">
        <v>290</v>
      </c>
      <c r="G9" s="66"/>
      <c r="H9" s="101" t="s">
        <v>187</v>
      </c>
      <c r="I9" s="66"/>
      <c r="J9" s="66"/>
      <c r="K9" s="66" t="s">
        <v>291</v>
      </c>
      <c r="L9" s="66"/>
      <c r="M9" s="66"/>
      <c r="N9" s="66"/>
      <c r="O9" s="66"/>
      <c r="P9" s="66"/>
      <c r="Q9" s="66"/>
      <c r="R9" s="66"/>
      <c r="S9" s="66"/>
      <c r="T9" s="66"/>
      <c r="U9" s="102"/>
      <c r="V9" s="66" t="s">
        <v>292</v>
      </c>
      <c r="W9" s="66"/>
      <c r="X9" s="66"/>
      <c r="Y9" s="102"/>
      <c r="Z9" s="66"/>
      <c r="AA9" s="66"/>
      <c r="AB9" s="66"/>
      <c r="AC9" s="102"/>
      <c r="AD9" s="66"/>
      <c r="AE9" s="66"/>
      <c r="AF9" s="66"/>
      <c r="AG9" s="102"/>
      <c r="AH9" s="66"/>
      <c r="AI9" s="66"/>
      <c r="AJ9" s="66"/>
      <c r="AK9" s="102"/>
      <c r="AL9" s="66"/>
      <c r="AM9" s="66"/>
      <c r="AN9" s="103"/>
      <c r="AO9" s="102"/>
      <c r="AP9" s="66"/>
      <c r="AQ9" s="66"/>
      <c r="AR9" s="103"/>
      <c r="AS9" s="66"/>
      <c r="AT9" s="66" t="s">
        <v>293</v>
      </c>
      <c r="AU9" s="71"/>
      <c r="AV9" s="66"/>
      <c r="AW9" s="66"/>
      <c r="AX9" s="66"/>
      <c r="AY9" s="66"/>
      <c r="AZ9" s="66"/>
      <c r="BA9" s="66"/>
      <c r="BB9" s="66"/>
      <c r="BC9" s="66"/>
      <c r="BD9" s="66"/>
      <c r="BE9" s="66"/>
      <c r="BF9" s="66"/>
      <c r="BG9" s="66"/>
      <c r="BH9" s="66"/>
      <c r="BI9" s="66"/>
      <c r="BJ9" s="66"/>
      <c r="BK9" s="66"/>
      <c r="BL9" s="66"/>
      <c r="BM9" s="66"/>
      <c r="BN9" s="66"/>
      <c r="BO9" s="66"/>
      <c r="BP9" s="103" t="s">
        <v>294</v>
      </c>
      <c r="BQ9" s="66"/>
      <c r="BR9" s="108" t="s">
        <v>295</v>
      </c>
      <c r="BS9" s="108"/>
      <c r="BT9" s="108"/>
      <c r="BV9" s="66"/>
      <c r="BW9" s="69" t="s">
        <v>296</v>
      </c>
    </row>
    <row r="10" ht="54" customHeight="1">
      <c r="A10" s="107"/>
      <c r="B10" s="109"/>
      <c r="C10" s="109"/>
      <c r="D10" s="109" t="s">
        <v>297</v>
      </c>
      <c r="E10" s="68" t="s">
        <v>298</v>
      </c>
      <c r="F10" s="109" t="s">
        <v>299</v>
      </c>
      <c r="G10" s="110"/>
      <c r="H10" s="68" t="s">
        <v>300</v>
      </c>
      <c r="I10" s="111"/>
      <c r="J10" s="110"/>
      <c r="K10" s="66" t="s">
        <v>301</v>
      </c>
      <c r="L10" s="66"/>
      <c r="M10" s="66"/>
      <c r="N10" s="66"/>
      <c r="O10" s="66"/>
      <c r="P10" s="66"/>
      <c r="Q10" s="66"/>
      <c r="R10" s="66"/>
      <c r="S10" s="66"/>
      <c r="T10" s="66" t="s">
        <v>302</v>
      </c>
      <c r="U10" s="66"/>
      <c r="V10" s="66"/>
      <c r="W10" s="66"/>
      <c r="X10" s="66"/>
      <c r="Y10" s="66"/>
      <c r="Z10" s="66"/>
      <c r="AA10" s="66"/>
      <c r="AB10" s="66"/>
      <c r="AC10" s="66"/>
      <c r="AD10" s="66"/>
      <c r="AE10" s="66"/>
      <c r="AF10" s="66"/>
      <c r="AG10" s="66"/>
      <c r="AH10" s="66"/>
      <c r="AI10" s="66"/>
      <c r="AJ10" s="66"/>
      <c r="AK10" s="66"/>
      <c r="AL10" s="66"/>
      <c r="AM10" s="66"/>
      <c r="AN10" s="103"/>
      <c r="AO10" s="66"/>
      <c r="AP10" s="66"/>
      <c r="AQ10" s="66"/>
      <c r="AR10" s="103"/>
      <c r="AS10" s="66"/>
      <c r="AT10" s="66"/>
      <c r="AU10" s="71"/>
      <c r="AV10" s="95" t="s">
        <v>303</v>
      </c>
      <c r="AW10" s="95"/>
      <c r="AX10" s="66"/>
      <c r="AY10" s="66"/>
      <c r="AZ10" s="95" t="s">
        <v>303</v>
      </c>
      <c r="BA10" s="95"/>
      <c r="BB10" s="66"/>
      <c r="BC10" s="66"/>
      <c r="BD10" s="95" t="s">
        <v>303</v>
      </c>
      <c r="BE10" s="95"/>
      <c r="BF10" s="66"/>
      <c r="BG10" s="66"/>
      <c r="BH10" s="95" t="s">
        <v>303</v>
      </c>
      <c r="BI10" s="95"/>
      <c r="BJ10" s="66"/>
      <c r="BK10" s="66"/>
      <c r="BL10" s="95" t="s">
        <v>303</v>
      </c>
      <c r="BM10" s="95"/>
      <c r="BN10" s="66"/>
      <c r="BO10" s="66"/>
      <c r="BP10" s="73" t="s">
        <v>304</v>
      </c>
      <c r="BQ10" s="112" t="s">
        <v>305</v>
      </c>
      <c r="BR10" s="112"/>
      <c r="BS10" s="112"/>
      <c r="BT10" s="82" t="s">
        <v>306</v>
      </c>
      <c r="BU10" s="82"/>
      <c r="BV10" s="66"/>
      <c r="BW10" s="66"/>
    </row>
    <row r="11" ht="54" customHeight="1">
      <c r="B11" s="109"/>
      <c r="C11" s="109"/>
      <c r="D11" s="66" t="s">
        <v>307</v>
      </c>
      <c r="E11" s="109"/>
      <c r="F11" s="66" t="s">
        <v>308</v>
      </c>
      <c r="G11" s="109"/>
      <c r="H11" s="66" t="s">
        <v>309</v>
      </c>
      <c r="I11" s="66"/>
      <c r="J11" s="109"/>
      <c r="K11" s="66" t="s">
        <v>310</v>
      </c>
      <c r="L11" s="66"/>
      <c r="M11" s="66"/>
      <c r="N11" s="66"/>
      <c r="O11" s="66"/>
      <c r="P11" s="66"/>
      <c r="Q11" s="66"/>
      <c r="R11" s="66"/>
      <c r="S11" s="66"/>
      <c r="T11" s="66" t="s">
        <v>147</v>
      </c>
      <c r="U11" s="66"/>
      <c r="V11" s="66"/>
      <c r="W11" s="66"/>
      <c r="X11" s="66"/>
      <c r="Y11" s="66"/>
      <c r="Z11" s="66"/>
      <c r="AA11" s="66"/>
      <c r="AB11" s="66"/>
      <c r="AC11" s="66"/>
      <c r="AD11" s="66"/>
      <c r="AE11" s="66"/>
      <c r="AF11" s="66"/>
      <c r="AG11" s="66"/>
      <c r="AH11" s="66"/>
      <c r="AI11" s="66"/>
      <c r="AJ11" s="66"/>
      <c r="AK11" s="66"/>
      <c r="AL11" s="66"/>
      <c r="AM11" s="66"/>
      <c r="AN11" s="103"/>
      <c r="AO11" s="66"/>
      <c r="AP11" s="66"/>
      <c r="AQ11" s="66"/>
      <c r="AR11" s="103"/>
      <c r="AS11" s="66"/>
      <c r="AT11" s="66"/>
      <c r="AU11" s="71"/>
      <c r="AV11" s="66"/>
      <c r="AW11" s="66"/>
      <c r="AX11" s="66"/>
      <c r="AY11" s="66"/>
      <c r="AZ11" s="66"/>
      <c r="BA11" s="66"/>
      <c r="BB11" s="66"/>
      <c r="BC11" s="66"/>
      <c r="BD11" s="66"/>
      <c r="BE11" s="66"/>
      <c r="BF11" s="66"/>
      <c r="BG11" s="66"/>
      <c r="BH11" s="66"/>
      <c r="BI11" s="66"/>
      <c r="BJ11" s="66"/>
      <c r="BK11" s="66"/>
      <c r="BL11" s="66"/>
      <c r="BM11" s="66"/>
      <c r="BN11" s="66"/>
      <c r="BO11" s="66"/>
      <c r="BP11" s="85" t="s">
        <v>311</v>
      </c>
      <c r="BQ11" s="85"/>
      <c r="BR11" s="66" t="s">
        <v>312</v>
      </c>
      <c r="BS11" s="66"/>
      <c r="BT11" s="113" t="s">
        <v>178</v>
      </c>
      <c r="BU11" s="114"/>
      <c r="BV11" s="114"/>
      <c r="BW11" s="114"/>
    </row>
    <row r="12" ht="54" customHeight="1">
      <c r="D12" s="93"/>
      <c r="F12" s="115"/>
      <c r="G12" s="115"/>
      <c r="I12" s="116"/>
      <c r="L12" s="116"/>
      <c r="P12" s="116"/>
      <c r="Q12" s="2"/>
      <c r="R12" s="2"/>
      <c r="S12" s="2"/>
      <c r="T12" s="116"/>
      <c r="U12" s="2"/>
      <c r="V12" s="2"/>
      <c r="W12" s="2"/>
      <c r="X12" s="116"/>
      <c r="Y12" s="2"/>
      <c r="Z12" s="2"/>
      <c r="AA12" s="2"/>
      <c r="AB12" s="116"/>
      <c r="AC12" s="2"/>
      <c r="AD12" s="2"/>
      <c r="AE12" s="2"/>
      <c r="AF12" s="116"/>
      <c r="AG12" s="2"/>
      <c r="AH12" s="2"/>
      <c r="AI12" s="2"/>
      <c r="AJ12" s="116"/>
      <c r="AK12" s="2"/>
      <c r="AL12" s="2"/>
      <c r="AM12" s="2"/>
      <c r="AN12" s="117"/>
      <c r="AO12" s="2"/>
      <c r="AP12" s="2"/>
      <c r="AQ12" s="2"/>
      <c r="AR12" s="117"/>
      <c r="AS12" s="2"/>
      <c r="AT12" s="2"/>
      <c r="AU12" s="6"/>
      <c r="AV12" s="116"/>
      <c r="AW12" s="2"/>
      <c r="AX12" s="2"/>
      <c r="AY12" s="2"/>
      <c r="AZ12" s="116"/>
      <c r="BA12" s="2"/>
      <c r="BB12" s="2"/>
      <c r="BC12" s="2"/>
      <c r="BD12" s="116"/>
      <c r="BE12" s="2"/>
      <c r="BF12" s="2"/>
      <c r="BG12" s="2"/>
      <c r="BH12" s="116"/>
      <c r="BI12" s="2"/>
      <c r="BJ12" s="2"/>
      <c r="BK12" s="2"/>
      <c r="BL12" s="116"/>
      <c r="BM12" s="2"/>
      <c r="BN12" s="2"/>
      <c r="BO12" s="2"/>
      <c r="BP12" s="72" t="s">
        <v>313</v>
      </c>
      <c r="BQ12" s="105"/>
      <c r="BR12" s="2"/>
      <c r="BS12" s="108" t="s">
        <v>314</v>
      </c>
      <c r="BT12" s="108"/>
      <c r="BU12" s="103"/>
      <c r="BV12" s="66"/>
      <c r="BW12" s="2"/>
    </row>
    <row r="13" ht="54" customHeight="1">
      <c r="F13" s="118"/>
      <c r="G13" s="118"/>
      <c r="H13" s="118"/>
    </row>
    <row r="14" ht="54" customHeight="1">
      <c r="F14" s="118"/>
      <c r="G14" s="118"/>
    </row>
    <row r="15" ht="14.25">
      <c r="F15" s="93"/>
    </row>
  </sheetData>
  <mergeCells count="97">
    <mergeCell ref="A1:D1"/>
    <mergeCell ref="E1:H1"/>
    <mergeCell ref="I1:K1"/>
    <mergeCell ref="L1:N1"/>
    <mergeCell ref="P1:S1"/>
    <mergeCell ref="T1:W1"/>
    <mergeCell ref="X1:AA1"/>
    <mergeCell ref="AB1:AE1"/>
    <mergeCell ref="AF1:AI1"/>
    <mergeCell ref="AJ1:AM1"/>
    <mergeCell ref="AN1:AQ1"/>
    <mergeCell ref="AR1:AU1"/>
    <mergeCell ref="AV1:AY1"/>
    <mergeCell ref="AZ1:BC1"/>
    <mergeCell ref="BD1:BG1"/>
    <mergeCell ref="BH1:BK1"/>
    <mergeCell ref="BL1:BO1"/>
    <mergeCell ref="BP1:BS1"/>
    <mergeCell ref="BT1:BW1"/>
    <mergeCell ref="C3:D3"/>
    <mergeCell ref="E3:F3"/>
    <mergeCell ref="G3:H3"/>
    <mergeCell ref="I3:J3"/>
    <mergeCell ref="L3:M3"/>
    <mergeCell ref="AU3:AY3"/>
    <mergeCell ref="BD3:BF3"/>
    <mergeCell ref="BU3:BV3"/>
    <mergeCell ref="C4:J4"/>
    <mergeCell ref="Z4:AA4"/>
    <mergeCell ref="AV4:AY4"/>
    <mergeCell ref="E5:F5"/>
    <mergeCell ref="G5:H5"/>
    <mergeCell ref="X5:Y5"/>
    <mergeCell ref="Z5:AA5"/>
    <mergeCell ref="AB5:AE5"/>
    <mergeCell ref="AF5:AI5"/>
    <mergeCell ref="AJ5:AN5"/>
    <mergeCell ref="AO5:AQ5"/>
    <mergeCell ref="BL5:BM5"/>
    <mergeCell ref="BT5:BU5"/>
    <mergeCell ref="G6:H6"/>
    <mergeCell ref="X6:AA6"/>
    <mergeCell ref="AB6:AD6"/>
    <mergeCell ref="AF6:AH6"/>
    <mergeCell ref="BE6:BG6"/>
    <mergeCell ref="BJ6:BN6"/>
    <mergeCell ref="BU6:BV6"/>
    <mergeCell ref="J7:K7"/>
    <mergeCell ref="M7:N7"/>
    <mergeCell ref="P7:S7"/>
    <mergeCell ref="AB7:AE7"/>
    <mergeCell ref="AF7:AI7"/>
    <mergeCell ref="AJ7:AM7"/>
    <mergeCell ref="AN7:AQ7"/>
    <mergeCell ref="AU7:AV7"/>
    <mergeCell ref="BR7:BS7"/>
    <mergeCell ref="D8:E8"/>
    <mergeCell ref="F8:H8"/>
    <mergeCell ref="BP8:BQ8"/>
    <mergeCell ref="BR8:BS8"/>
    <mergeCell ref="D9:E9"/>
    <mergeCell ref="AT9:AV9"/>
    <mergeCell ref="BP9:BQ9"/>
    <mergeCell ref="BR9:BT9"/>
    <mergeCell ref="K10:O10"/>
    <mergeCell ref="T10:W10"/>
    <mergeCell ref="X10:AA10"/>
    <mergeCell ref="AB10:AE10"/>
    <mergeCell ref="AF10:AI10"/>
    <mergeCell ref="AJ10:AM10"/>
    <mergeCell ref="AN10:AQ10"/>
    <mergeCell ref="AV10:AW10"/>
    <mergeCell ref="AZ10:BA10"/>
    <mergeCell ref="BD10:BE10"/>
    <mergeCell ref="BH10:BI10"/>
    <mergeCell ref="BL10:BM10"/>
    <mergeCell ref="BQ10:BS10"/>
    <mergeCell ref="K11:O11"/>
    <mergeCell ref="T11:W11"/>
    <mergeCell ref="X11:AA11"/>
    <mergeCell ref="AB11:AE11"/>
    <mergeCell ref="AF11:AI11"/>
    <mergeCell ref="AJ11:AM11"/>
    <mergeCell ref="AN11:AQ11"/>
    <mergeCell ref="AR11:AU11"/>
    <mergeCell ref="AV11:AY11"/>
    <mergeCell ref="AZ11:BC11"/>
    <mergeCell ref="BD11:BG11"/>
    <mergeCell ref="BH11:BK11"/>
    <mergeCell ref="BL11:BO11"/>
    <mergeCell ref="BP11:BQ11"/>
    <mergeCell ref="BR11:BS11"/>
    <mergeCell ref="F12:G12"/>
    <mergeCell ref="BS12:BT12"/>
    <mergeCell ref="BU12:BV12"/>
    <mergeCell ref="F13:H13"/>
    <mergeCell ref="F14:G14"/>
  </mergeCells>
  <printOptions headings="0" gridLines="0"/>
  <pageMargins left="0.70069444444444484" right="0.70069444444444484" top="0.75208333333333299" bottom="0.75208333333333299" header="0.51181102362204689" footer="0.51181102362204689"/>
  <pageSetup paperSize="9" scale="10" fitToWidth="1" fitToHeight="1" pageOrder="downThenOver" orientation="landscape" usePrinterDefaults="1" blackAndWhite="0" draft="0" cellComments="none" useFirstPageNumber="0" errors="displayed" horizontalDpi="300" verticalDpi="300" copies="1"/>
  <headerFooter/>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GridLines="1" showRowColHeaders="1" showZeros="1" showRuler="1" view="normal" zoomScale="100" workbookViewId="0">
      <selection activeCell="C4" activeCellId="0" sqref="C4"/>
    </sheetView>
  </sheetViews>
  <sheetFormatPr defaultColWidth="9.1484375" defaultRowHeight="14.25"/>
  <cols>
    <col customWidth="1" min="1" max="3" style="119" width="30.7109375"/>
    <col customWidth="1" min="4" max="8" style="1" width="30.7109375"/>
    <col customWidth="0" min="9" max="16384" style="1" width="9.1400000000000006"/>
  </cols>
  <sheetData>
    <row r="1" s="120" customFormat="1" ht="32.25" customHeight="1">
      <c r="A1" s="121" t="s">
        <v>315</v>
      </c>
      <c r="B1" s="121"/>
      <c r="C1" s="121"/>
      <c r="D1" s="121"/>
      <c r="E1" s="121"/>
      <c r="F1" s="121"/>
      <c r="G1" s="121"/>
      <c r="H1" s="121"/>
    </row>
    <row r="2" s="120" customFormat="1" ht="43.5" customHeight="1">
      <c r="A2" s="122" t="s">
        <v>316</v>
      </c>
      <c r="B2" s="122"/>
      <c r="C2" s="122"/>
      <c r="D2" s="122"/>
      <c r="E2" s="122"/>
      <c r="F2" s="122"/>
      <c r="G2" s="122"/>
      <c r="H2" s="122"/>
    </row>
    <row r="3" s="120" customFormat="1" ht="16.5">
      <c r="A3" s="123" t="s">
        <v>317</v>
      </c>
      <c r="B3" s="123" t="s">
        <v>318</v>
      </c>
      <c r="C3" s="123" t="s">
        <v>319</v>
      </c>
      <c r="D3" s="123" t="s">
        <v>320</v>
      </c>
      <c r="E3" s="123" t="s">
        <v>321</v>
      </c>
      <c r="F3" s="123" t="s">
        <v>322</v>
      </c>
      <c r="G3" s="123" t="s">
        <v>323</v>
      </c>
      <c r="H3" s="123" t="s">
        <v>324</v>
      </c>
    </row>
    <row r="4" s="124" customFormat="1" ht="105.75" customHeight="1">
      <c r="A4" s="125" t="str">
        <f>ПЛАН!BP4</f>
        <v xml:space="preserve">Направлен отчёт: затраты на ПО и меры поддержки ИТ проектов</v>
      </c>
      <c r="B4" s="125" t="str">
        <f>ПЛАН!BP10</f>
        <v xml:space="preserve">Проведена работа по обновлению инструкции по применению электронных документов ОКУД 0510521 «Заявка-обоснование закупки товаров, работ, услуг малого объема через подотчетное лицо (ф. 0510521)</v>
      </c>
      <c r="C4" s="126" t="e">
        <f>#REF!</f>
        <v>#REF!</v>
      </c>
      <c r="D4" s="127" t="e">
        <f>#REF!</f>
        <v>#REF!</v>
      </c>
      <c r="E4" s="127" t="str">
        <f>ПЛАН!BP8</f>
        <v xml:space="preserve">Инвентаризированы оферты подключения к ГИС "Смета ЯНАО" государственных учреждений в ЯНАО: оферт в наличии 48, ожидаем - 8; нет оферт - 25 (Здрав), 9 (Ликвидировано учреждений). Всего изначально - 90</v>
      </c>
      <c r="F4" s="127"/>
      <c r="G4" s="127"/>
      <c r="H4" s="128" t="str">
        <f>ПЛАН!BQ5</f>
        <v xml:space="preserve">Проведена работа по обновлению схемы топологии ЯНАО: уточнялись каналы взаимодействия, маршруты прохождения данных, состав систем и сервисов. Результатом стала обновлённая актуализированная схема с учетом текущей архитектуры и взаимодействующих контуров.</v>
      </c>
      <c r="I4" s="124"/>
    </row>
    <row r="5" s="124" customFormat="1" ht="53.25" customHeight="1">
      <c r="A5" s="128" t="str">
        <f>ПЛАН!BP5</f>
        <v xml:space="preserve">Направлена заявка на промышленную ЕСИА; совместно с отделом информационной безопасности проведена работа по взаимодействию с НИИ "Восход" и Ростелеком</v>
      </c>
      <c r="B5" s="128" t="str">
        <f>ПЛАН!BP12</f>
        <v xml:space="preserve">Подготовлено и согласовано ТЗ по мероприятию: Оказание услуг по настройке в ГИС «Смета ЯНАО» функционала в части учета, начисления и расчетов по плате, которую родители (законные представители) ежемесячно платят дошкольной образовательной организации за присмотр и уход за ребёнком (далее – родительская плата), компенсационных выплат по родительской плате, а также учет расчетов по платным услугам образовательных учреждений</v>
      </c>
      <c r="C5" s="129"/>
      <c r="D5" s="127"/>
      <c r="E5" s="127" t="str">
        <f>ПЛАН!BP9</f>
        <v xml:space="preserve">Проведено обучение администраторов Сметы на тему настройки платёжных поручений в базах данных пользователей всех муниципальных учреждений в ЯНАО</v>
      </c>
      <c r="F5" s="127"/>
      <c r="G5" s="130"/>
      <c r="H5" s="128"/>
      <c r="I5" s="124"/>
    </row>
    <row r="6" s="124" customFormat="1" ht="60" customHeight="1">
      <c r="A6" s="128"/>
      <c r="B6" s="128"/>
      <c r="C6" s="129"/>
      <c r="D6" s="131" t="e">
        <f>#REF!</f>
        <v>#REF!</v>
      </c>
      <c r="E6" s="127" t="str">
        <f>ПЛАН!BR8</f>
        <v xml:space="preserve">Проведено обучения (3 дня) для бухгалтеров муниципальных учреждений в ЯНАО по направлению: создание, подписание и закрытие платёжных поручений в ГИС "Смета ЯНАО"</v>
      </c>
      <c r="F6" s="127"/>
      <c r="G6" s="130"/>
      <c r="H6" s="128" t="str">
        <f>ПЛАН!BR5</f>
        <v xml:space="preserve">Проведена работа по актуализации таблиц Excel с выборками органов и учреждений по направлению ЕСКУ. Проведена сверка списков, выявлены отсутствующие, новые и дублирующиеся записи. В результате был подготовлен максимально актуальный список учреждений для дальнейшей работы и сопоставления данных</v>
      </c>
      <c r="I6" s="124"/>
    </row>
    <row r="7" s="124" customFormat="1" ht="69" customHeight="1">
      <c r="A7" s="126" t="str">
        <f>ПЛАН!BP6</f>
        <v xml:space="preserve">Направлен и согласован предварительный проект плана информатизации 2027</v>
      </c>
      <c r="B7" s="128"/>
      <c r="C7" s="129"/>
      <c r="D7" s="129"/>
      <c r="E7" s="127" t="str">
        <f>ПЛАН!BR9</f>
        <v xml:space="preserve">Выполнен срез используемого функционала платёжных поручений в ГИС "Смета ЯНАО" из числа, прошедших обучение, с фокусом: платёжные поручения, прямые выплаты</v>
      </c>
      <c r="F7" s="127"/>
      <c r="G7" s="127"/>
      <c r="H7" s="128"/>
      <c r="I7" s="124"/>
    </row>
    <row r="8" s="124" customFormat="1" ht="84.75" customHeight="1">
      <c r="A8" s="128" t="str">
        <f>ПЛАН!BP11</f>
        <v xml:space="preserve">Сформулированы требования и разработан отчёт использования функционала ГИС "Смета ЯНАО" в части работы с первичными платёжными документами. Отчёт отражает точки роста и акцентирует внимание на базах данных, в которые платёжные первичные документы импортируются из Исполненеия бюджета</v>
      </c>
      <c r="B8" s="128"/>
      <c r="C8" s="129"/>
      <c r="D8" s="129"/>
      <c r="E8" s="131" t="str">
        <f>ПЛАН!BR7</f>
        <v xml:space="preserve">Проведена работа по сбору актов должников по итеграции ГИС "Смета ЯНАО" и ГИС "ЕСКУ ЯНАО", собрано - Х ед</v>
      </c>
      <c r="F8" s="132" t="str">
        <f>ПЛАН!BR11</f>
        <v xml:space="preserve">Проведена актуализация доступов в ГБУ «Дирекция ООПТ ЯНАО», ГКУ «Служба по охране биоресурсов ЯНАО», ГУ «Леса Ямала», ГАУ «Центр изучения Арктики»</v>
      </c>
      <c r="G8" s="128" t="str">
        <f>'Количественная аналитика'!B43</f>
        <v xml:space="preserve">1. Приказы на доступ ОУ - 6
2. Оферты по МБТ - 5
3. Приказы ЦБ на доступ - 5
4. Замещение с 02.09 по 06.09 Начальника отдела и Ведущих специалистов отдела
5. Исправление ошибок ГИС "ГМП" после смены реквизитов Казначейства
6. Работа по подписанию между базами ф.0504805 05104548</v>
      </c>
      <c r="H8" s="128"/>
      <c r="I8" s="124"/>
    </row>
    <row r="9" s="124" customFormat="1" ht="186.75" customHeight="1">
      <c r="A9" s="128"/>
      <c r="B9" s="126" t="str">
        <f>ПЛАН!BP3</f>
        <v xml:space="preserve">Актуализировано ТЗ по мероприятию: Оказание услуг по настройке ГИС «Смета ЯНАО» в части электронного взаимодействия (интеграции) с внешней информационной системой ГИС «Имущество ЯНАО»</v>
      </c>
      <c r="C9" s="129"/>
      <c r="D9" s="129"/>
      <c r="E9" s="129"/>
      <c r="F9" s="133" t="str">
        <f>'Количественная аналитика'!B41</f>
        <v xml:space="preserve">1. Аудит по использованию Сметы и подготовка общего свода (Надымский р-н - 77, Губкинский - 47, Салехард - 57, Пуровский р-н - 64).
2. Сбор недостающих оферт по ГУ и МО - 2.
3. Написано инструкций и выложено на сайт ЦБ ОГВ - 3.
4. Настройка ЭДО Астрал для Департамента тарифной политики - 1.
5. Оформлено МЧД в ФНС, Росстат для Департамента тарифной политики - 6.
6. Внедрение и отработка механизма кроссподписания при передаче имущества из муниципального в региональный бюджет (ф.0510448, ф.0504805) - Пуровский р-н - 1
7. Подготовка свода по работе МО с документами 61н. - 1
8. Заявки / обращения от МО через чаты и по телефону &gt;= 100.
9. Взаимодействие с представителями подрядчиков (Fargos, Krista) по централизации Сметы в рабочих чатах MAX.</v>
      </c>
      <c r="G9" s="128"/>
      <c r="H9" s="126" t="str">
        <f>ПЛАН!BR6</f>
        <v xml:space="preserve">Выполнена работа по развитию автоматизации бизнес-процесса межбюджетных трансфертов: Подготовлена BPMN-схема "как есть сейчас", а также описан бизнес-процесс в деталях «как должно быть» на стороне ГИС "Смета ЯНАО". Подготовлены функциональные требования</v>
      </c>
      <c r="I9" s="124"/>
    </row>
    <row r="10" s="124" customFormat="1" ht="25.5">
      <c r="A10" s="129" t="str">
        <f>ПЛАН!BQ3</f>
        <v xml:space="preserve">Направлен отчёт: ФГИСКИ</v>
      </c>
      <c r="B10" s="132">
        <f>'Количественная аналитика'!K39</f>
        <v>0</v>
      </c>
      <c r="C10" s="129"/>
      <c r="D10" s="129"/>
      <c r="E10" s="129"/>
      <c r="F10" s="129"/>
      <c r="G10" s="129"/>
      <c r="H10" s="129"/>
      <c r="I10" s="124"/>
    </row>
    <row r="11" s="124" customFormat="1" ht="409.5">
      <c r="A11" s="132" t="str">
        <f>ПЛАН!BQ6</f>
        <v xml:space="preserve">Выполнена работа по развитию автоматизации бизнес-процесса межбюджетных трансфертов: Проведены переговоры, исследования, согласование новой схемы взаимодействия, найден консенсус, который не позволит вносить изменения в документ-основание (заявку на МБТ) в случае создания расчёта по нему. Также, подготовлена система статусов для Исполнения бюджета и обновлена BPMN-схема "как должно быть"</v>
      </c>
      <c r="B11" s="126" t="str">
        <f>'Количественная аналитика'!B39</f>
        <v xml:space="preserve">1. Подготовил изменения в Положение о ГИС "Смета ЯНАО"
2. Актуализировал пакет документов (заявка) на регистрацию модуля ИИ в Роспатент. Заявка рассмотрена положительно, модуль (программа) внесено в реестр программ для ЭВМ. 
3. Скорректировал предварительный ПИ на 2027 год. Предварительно согласован ДИТиС.
4. Скорректировал ПИ на 2026 год, согласован ДИТиС.
5. Принял участие в актуализации списков организаций (муниципальных и окружных)
6. Направил ежемесячные отчеты по аудиту ПО и импортзамещению в ДИТиС (через депфин).
7. Актуализировал и направил на согласование ТЗ по администрированию Сметы
8. Подготовил новость (не публиковали еще) для работников органов власти об использовании приложения для агрегации сформированных отчетов об отпуске или командировке.
9. Подготовил письмо в РЦОКО для взаимодействия с ГИС «Ямал Образование» через СМЭВ.</v>
      </c>
      <c r="C11" s="129"/>
      <c r="D11" s="129"/>
      <c r="E11" s="129"/>
      <c r="F11" s="129"/>
      <c r="G11" s="129"/>
      <c r="H11" s="129"/>
      <c r="I11" s="124"/>
    </row>
    <row r="12" s="124" customFormat="1" ht="63.75">
      <c r="A12" s="132" t="str">
        <f>ПЛАН!BQ7</f>
        <v xml:space="preserve">Подготовлено ТЗ по интеграции Смета+Тезис</v>
      </c>
      <c r="B12" s="126" t="s">
        <v>325</v>
      </c>
      <c r="C12" s="129"/>
      <c r="D12" s="129"/>
      <c r="E12" s="129"/>
      <c r="F12" s="129"/>
      <c r="G12" s="129"/>
      <c r="H12" s="129"/>
      <c r="I12" s="124"/>
    </row>
    <row r="13" s="124" customFormat="1" ht="14.25">
      <c r="A13" s="130" t="str">
        <f>ПЛАН!BQ10</f>
        <v xml:space="preserve">Подготовлено и согласовано ТЗ: Интеграция АПК</v>
      </c>
      <c r="B13" s="130"/>
      <c r="C13" s="129"/>
      <c r="D13" s="129"/>
      <c r="E13" s="129"/>
      <c r="F13" s="129"/>
      <c r="G13" s="129"/>
      <c r="H13" s="129"/>
      <c r="I13" s="124"/>
    </row>
    <row r="14" s="124" customFormat="1" ht="89.25">
      <c r="A14" s="132" t="str">
        <f>ПЛАН!BS3</f>
        <v xml:space="preserve">Направленная ранее заявка в Федеральный институт промышленной собственности успешно отработана; проводится работа по корректировке(совместно А.А. Черновым)</v>
      </c>
      <c r="B14" s="126" t="s">
        <v>326</v>
      </c>
      <c r="C14" s="129"/>
      <c r="D14" s="129"/>
      <c r="E14" s="129"/>
      <c r="F14" s="129"/>
      <c r="G14" s="129"/>
      <c r="H14" s="129"/>
      <c r="I14" s="124"/>
    </row>
    <row r="15" s="124" customFormat="1" ht="76.5">
      <c r="A15" s="132" t="str">
        <f>ПЛАН!BS4</f>
        <v xml:space="preserve">Выполнены тестовые испытия промышленной ЕСИА, модифицирован код API-серверов, добавлены сертификаты удостостоверяющих центров</v>
      </c>
      <c r="B15" s="126" t="s">
        <v>327</v>
      </c>
      <c r="C15" s="129"/>
      <c r="D15" s="129"/>
      <c r="E15" s="129"/>
      <c r="F15" s="129"/>
      <c r="G15" s="129"/>
      <c r="H15" s="129"/>
      <c r="I15" s="124"/>
    </row>
    <row r="16" s="124" customFormat="1" ht="153">
      <c r="A16" s="132" t="str">
        <f>ПЛАН!BS6</f>
        <v xml:space="preserve">Включен механизм журналирования входящих запросов для тела запроса с полезной нагрузкой - пользовательскими данными в рамках интеграции с АИС Жилфонд. Это позволит быстро обращаться к журналам отправленных в Смету данны ретроспективно для разрешения спорных ситуаций в рамках интеграции</v>
      </c>
      <c r="B16" s="129"/>
      <c r="C16" s="129"/>
      <c r="D16" s="129"/>
      <c r="E16" s="129"/>
      <c r="F16" s="129"/>
      <c r="G16" s="129"/>
      <c r="H16" s="129"/>
      <c r="I16" s="124"/>
    </row>
    <row r="17" s="124" customFormat="1" ht="127.5">
      <c r="A17" s="132" t="e">
        <f>#REF!</f>
        <v>#REF!</v>
      </c>
      <c r="B17" s="129"/>
      <c r="C17" s="129"/>
      <c r="D17" s="129"/>
      <c r="E17" s="129"/>
      <c r="F17" s="129"/>
      <c r="G17" s="129"/>
      <c r="H17" s="129"/>
      <c r="I17" s="124"/>
    </row>
    <row r="18" s="124" customFormat="1" ht="38.25">
      <c r="A18" s="132" t="e">
        <f>#REF!</f>
        <v>#REF!</v>
      </c>
      <c r="B18" s="129"/>
      <c r="C18" s="129"/>
      <c r="D18" s="129"/>
      <c r="E18" s="129"/>
      <c r="F18" s="129"/>
      <c r="G18" s="129"/>
      <c r="H18" s="129"/>
      <c r="I18" s="124"/>
    </row>
    <row r="19" s="124" customFormat="1" ht="78.75" customHeight="1">
      <c r="A19" s="134" t="str">
        <f>ПЛАН!BS5</f>
        <v xml:space="preserve">Проведено зондирование вопроса подключения уведомлений в чат-бот "Бухагалтер Света" (Среда) от функционала ЭДО "Отчётность" (Астрал). Выявлены ключевые точки роста, оценена рентабельность мероприятия (Не рентабельно)</v>
      </c>
      <c r="B19" s="135"/>
      <c r="C19" s="135"/>
      <c r="D19" s="135"/>
      <c r="E19" s="135"/>
      <c r="F19" s="135"/>
      <c r="G19" s="135"/>
      <c r="H19" s="135"/>
      <c r="I19" s="124"/>
    </row>
    <row r="20" s="3" customFormat="1" ht="14.25">
      <c r="A20" s="136"/>
      <c r="B20" s="136"/>
      <c r="C20" s="136"/>
      <c r="D20" s="136"/>
      <c r="E20" s="136"/>
      <c r="F20" s="136"/>
      <c r="G20" s="136"/>
      <c r="H20" s="136"/>
      <c r="I20" s="3"/>
    </row>
    <row r="21" s="3" customFormat="1" ht="14.25">
      <c r="A21" s="136"/>
      <c r="B21" s="136"/>
      <c r="C21" s="136"/>
      <c r="D21" s="136"/>
      <c r="E21" s="136"/>
      <c r="F21" s="136"/>
      <c r="G21" s="136"/>
      <c r="H21" s="136"/>
      <c r="I21" s="3"/>
    </row>
    <row r="22" s="3" customFormat="1" ht="14.25">
      <c r="A22" s="136"/>
      <c r="B22" s="136"/>
      <c r="C22" s="136"/>
      <c r="D22" s="136"/>
      <c r="E22" s="136"/>
      <c r="F22" s="136"/>
      <c r="G22" s="136"/>
      <c r="H22" s="136"/>
      <c r="I22" s="3"/>
    </row>
    <row r="23" s="3" customFormat="1" ht="14.25">
      <c r="A23" s="136"/>
      <c r="B23" s="136"/>
      <c r="C23" s="136"/>
      <c r="D23" s="136"/>
      <c r="E23" s="136"/>
      <c r="F23" s="136"/>
      <c r="G23" s="136"/>
      <c r="H23" s="136"/>
    </row>
    <row r="24" s="3" customFormat="1" ht="14.25">
      <c r="A24" s="136"/>
      <c r="B24" s="136"/>
      <c r="C24" s="136"/>
      <c r="D24" s="136"/>
      <c r="E24" s="136"/>
      <c r="F24" s="136"/>
      <c r="G24" s="136"/>
      <c r="H24" s="136"/>
    </row>
    <row r="25" s="3" customFormat="1" ht="14.25">
      <c r="A25" s="136"/>
      <c r="B25" s="136"/>
      <c r="C25" s="136"/>
      <c r="D25" s="136"/>
      <c r="E25" s="136"/>
      <c r="F25" s="136"/>
      <c r="G25" s="136"/>
      <c r="H25" s="136"/>
    </row>
    <row r="26" s="3" customFormat="1" ht="14.25">
      <c r="H26" s="3"/>
    </row>
    <row r="27" s="3" customFormat="1" ht="14.25">
      <c r="H27" s="3"/>
    </row>
    <row r="28" s="3" customFormat="1" ht="14.25"/>
    <row r="29" s="3" customFormat="1" ht="14.25"/>
    <row r="30" s="3" customFormat="1" ht="14.25"/>
    <row r="31" s="3" customFormat="1" ht="14.25"/>
    <row r="32" s="3" customFormat="1" ht="14.25"/>
    <row r="33" s="3" customFormat="1" ht="14.25"/>
    <row r="34" s="3" customFormat="1" ht="14.25"/>
    <row r="35" s="3" customFormat="1" ht="14.25"/>
    <row r="36" s="3" customFormat="1" ht="14.25"/>
    <row r="37" s="3" customFormat="1" ht="14.25"/>
    <row r="38" s="3" customFormat="1" ht="14.25"/>
    <row r="39" s="3" customFormat="1" ht="14.25"/>
    <row r="40" s="3" customFormat="1" ht="14.25"/>
    <row r="41" s="3" customFormat="1" ht="14.25"/>
    <row r="42" s="3" customFormat="1" ht="14.25"/>
    <row r="43" s="3" customFormat="1" ht="14.25"/>
    <row r="44" s="3" customFormat="1" ht="14.25"/>
    <row r="45" s="3" customFormat="1" ht="14.25"/>
    <row r="46" s="3" customFormat="1" ht="14.25"/>
    <row r="47" s="3" customFormat="1" ht="14.25"/>
    <row r="48" s="3" customFormat="1" ht="14.25"/>
    <row r="49" s="3" customFormat="1" ht="14.25"/>
    <row r="50" s="3" customFormat="1" ht="14.25"/>
    <row r="51" s="3" customFormat="1" ht="14.25"/>
    <row r="52" s="3" customFormat="1" ht="14.25"/>
  </sheetData>
  <mergeCells count="15">
    <mergeCell ref="A1:G1"/>
    <mergeCell ref="A2:G2"/>
    <mergeCell ref="D4:D5"/>
    <mergeCell ref="E4:G4"/>
    <mergeCell ref="H4:H5"/>
    <mergeCell ref="A5:A6"/>
    <mergeCell ref="B5:B8"/>
    <mergeCell ref="E5:F5"/>
    <mergeCell ref="G5:G6"/>
    <mergeCell ref="E6:F6"/>
    <mergeCell ref="H6:H8"/>
    <mergeCell ref="E7:G7"/>
    <mergeCell ref="A8:A9"/>
    <mergeCell ref="G8:G9"/>
    <mergeCell ref="A13:B13"/>
  </mergeCells>
  <printOptions headings="0" gridLines="0"/>
  <pageMargins left="0.70078740157480324" right="0.70078740157480324" top="0.75196850393700776" bottom="0.75196850393700776" header="0.51181102362204689" footer="0.51181102362204689"/>
  <pageSetup paperSize="9" scale="54" firstPageNumber="1" fitToWidth="1" fitToHeight="0" pageOrder="downThenOver" orientation="landscape" usePrinterDefaults="1" blackAndWhite="0" draft="0" cellComments="none" useFirstPageNumber="1"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GridLines="1" showRowColHeaders="1" showZeros="1" showRuler="1" view="normal" topLeftCell="A22" zoomScale="100" workbookViewId="0">
      <selection activeCell="C18" activeCellId="0" sqref="C18"/>
    </sheetView>
  </sheetViews>
  <sheetFormatPr defaultColWidth="9.1484375" defaultRowHeight="14.25"/>
  <cols>
    <col customWidth="1" min="1" max="1" style="137" width="17.28125"/>
    <col customWidth="1" min="2" max="2" style="138" width="34.289999999999999"/>
    <col customWidth="1" min="3" max="7" style="138" width="8.7109375"/>
    <col customWidth="1" min="8" max="10" style="137" width="8.7109375"/>
    <col customWidth="1" min="11" max="11" style="137" width="10.28125"/>
    <col customWidth="1" min="12" max="12" style="138" width="34.289999999999999"/>
    <col customWidth="1" min="13" max="13" style="138" width="24.710000000000001"/>
    <col customWidth="0" min="14" max="15" style="137" width="9.1400000000000006"/>
    <col customWidth="1" min="16" max="16" style="137" width="23.289999999999999"/>
    <col customWidth="0" min="17" max="16384" style="137" width="9.1400000000000006"/>
  </cols>
  <sheetData>
    <row r="1" ht="22.5" customHeight="1">
      <c r="A1" s="139" t="s">
        <v>328</v>
      </c>
      <c r="B1" s="139"/>
      <c r="C1" s="139"/>
      <c r="D1" s="139"/>
      <c r="E1" s="139"/>
      <c r="F1" s="139"/>
      <c r="G1" s="139"/>
      <c r="H1" s="139"/>
      <c r="I1" s="139"/>
      <c r="J1" s="139"/>
      <c r="K1" s="140"/>
      <c r="L1" s="141"/>
      <c r="M1" s="141"/>
    </row>
    <row r="2" ht="30" customHeight="1">
      <c r="A2" s="142" t="s">
        <v>329</v>
      </c>
      <c r="B2" s="143" t="s">
        <v>330</v>
      </c>
      <c r="C2" s="144" t="s">
        <v>331</v>
      </c>
      <c r="D2" s="144" t="s">
        <v>332</v>
      </c>
      <c r="E2" s="144" t="s">
        <v>333</v>
      </c>
      <c r="F2" s="144" t="s">
        <v>334</v>
      </c>
      <c r="G2" s="144" t="s">
        <v>335</v>
      </c>
      <c r="H2" s="144" t="s">
        <v>336</v>
      </c>
      <c r="I2" s="144" t="s">
        <v>337</v>
      </c>
      <c r="J2" s="144" t="s">
        <v>338</v>
      </c>
      <c r="K2" s="145" t="s">
        <v>339</v>
      </c>
      <c r="L2" s="146"/>
      <c r="M2" s="2"/>
    </row>
    <row r="3" ht="14.25">
      <c r="A3" s="147" t="s">
        <v>340</v>
      </c>
      <c r="B3" s="148">
        <f t="shared" ref="B3:B9" si="0">SUM(C3:G3)</f>
        <v>2336</v>
      </c>
      <c r="C3" s="142">
        <v>342</v>
      </c>
      <c r="D3" s="142">
        <v>1320</v>
      </c>
      <c r="E3" s="142">
        <v>165</v>
      </c>
      <c r="F3" s="142">
        <v>374</v>
      </c>
      <c r="G3" s="142">
        <v>135</v>
      </c>
      <c r="H3" s="149"/>
      <c r="I3" s="149"/>
      <c r="J3" s="149"/>
      <c r="K3" s="150"/>
      <c r="M3" s="151"/>
    </row>
    <row r="4" ht="14.25">
      <c r="A4" s="147" t="s">
        <v>341</v>
      </c>
      <c r="B4" s="148">
        <f t="shared" si="0"/>
        <v>3616</v>
      </c>
      <c r="C4" s="142">
        <v>962</v>
      </c>
      <c r="D4" s="142">
        <v>1288</v>
      </c>
      <c r="E4" s="142">
        <v>775</v>
      </c>
      <c r="F4" s="142">
        <v>302</v>
      </c>
      <c r="G4" s="142">
        <v>289</v>
      </c>
      <c r="H4" s="149"/>
      <c r="I4" s="149"/>
      <c r="J4" s="149"/>
      <c r="K4" s="150"/>
      <c r="M4" s="151"/>
    </row>
    <row r="5" ht="14.25">
      <c r="A5" s="147" t="s">
        <v>342</v>
      </c>
      <c r="B5" s="148">
        <f t="shared" si="0"/>
        <v>1771</v>
      </c>
      <c r="C5" s="142">
        <v>406</v>
      </c>
      <c r="D5" s="142">
        <v>257</v>
      </c>
      <c r="E5" s="142">
        <v>630</v>
      </c>
      <c r="F5" s="142">
        <v>257</v>
      </c>
      <c r="G5" s="142">
        <v>221</v>
      </c>
      <c r="H5" s="149"/>
      <c r="I5" s="149"/>
      <c r="J5" s="149"/>
      <c r="K5" s="150"/>
      <c r="M5" s="151"/>
    </row>
    <row r="6" ht="14.25">
      <c r="A6" s="147" t="s">
        <v>343</v>
      </c>
      <c r="B6" s="148">
        <f t="shared" si="0"/>
        <v>2491</v>
      </c>
      <c r="C6" s="142">
        <v>457</v>
      </c>
      <c r="D6" s="142">
        <v>666</v>
      </c>
      <c r="E6" s="142">
        <v>836</v>
      </c>
      <c r="F6" s="142">
        <v>387</v>
      </c>
      <c r="G6" s="142">
        <v>145</v>
      </c>
      <c r="H6" s="149"/>
      <c r="I6" s="149"/>
      <c r="J6" s="149"/>
      <c r="K6" s="150"/>
      <c r="M6" s="151"/>
    </row>
    <row r="7" ht="14.25">
      <c r="A7" s="147" t="s">
        <v>344</v>
      </c>
      <c r="B7" s="148">
        <f t="shared" si="0"/>
        <v>2894</v>
      </c>
      <c r="C7" s="142">
        <v>630</v>
      </c>
      <c r="D7" s="142">
        <v>910</v>
      </c>
      <c r="E7" s="142">
        <v>717</v>
      </c>
      <c r="F7" s="142">
        <v>411</v>
      </c>
      <c r="G7" s="142">
        <v>226</v>
      </c>
      <c r="H7" s="149"/>
      <c r="I7" s="149"/>
      <c r="J7" s="149"/>
      <c r="K7" s="150"/>
      <c r="M7" s="151"/>
    </row>
    <row r="8" ht="14.25">
      <c r="A8" s="147" t="s">
        <v>345</v>
      </c>
      <c r="B8" s="148">
        <f t="shared" si="0"/>
        <v>3277</v>
      </c>
      <c r="C8" s="148">
        <v>515</v>
      </c>
      <c r="D8" s="148">
        <v>791</v>
      </c>
      <c r="E8" s="148">
        <v>1024</v>
      </c>
      <c r="F8" s="148">
        <v>681</v>
      </c>
      <c r="G8" s="148">
        <v>266</v>
      </c>
      <c r="H8" s="152"/>
      <c r="I8" s="152"/>
      <c r="J8" s="152"/>
      <c r="K8" s="153"/>
    </row>
    <row r="9" ht="14.25">
      <c r="A9" s="147" t="s">
        <v>346</v>
      </c>
      <c r="B9" s="148">
        <f t="shared" si="0"/>
        <v>2081</v>
      </c>
      <c r="C9" s="148">
        <v>425</v>
      </c>
      <c r="D9" s="148">
        <v>390</v>
      </c>
      <c r="E9" s="148">
        <v>694</v>
      </c>
      <c r="F9" s="148">
        <v>397</v>
      </c>
      <c r="G9" s="148">
        <v>175</v>
      </c>
      <c r="H9" s="152"/>
      <c r="I9" s="152"/>
      <c r="J9" s="152"/>
      <c r="K9" s="153"/>
    </row>
    <row r="10" ht="14.25">
      <c r="A10" s="147" t="s">
        <v>347</v>
      </c>
      <c r="B10" s="148">
        <f>SUM(C10:G10)</f>
        <v>2040</v>
      </c>
      <c r="C10" s="148">
        <f>320*0.8</f>
        <v>256</v>
      </c>
      <c r="D10" s="148">
        <f>661*0.8</f>
        <v>528.80000000000007</v>
      </c>
      <c r="E10" s="148">
        <f>739*0.8</f>
        <v>591.20000000000005</v>
      </c>
      <c r="F10" s="148">
        <f>509*0.8</f>
        <v>407.20000000000005</v>
      </c>
      <c r="G10" s="148">
        <f>321*0.8</f>
        <v>256.80000000000001</v>
      </c>
      <c r="H10" s="152"/>
      <c r="I10" s="152"/>
      <c r="J10" s="152"/>
      <c r="K10" s="153"/>
    </row>
    <row r="11" ht="14.25">
      <c r="A11" s="147" t="s">
        <v>348</v>
      </c>
      <c r="B11" s="148">
        <v>2530</v>
      </c>
      <c r="C11" s="148">
        <v>752</v>
      </c>
      <c r="D11" s="148">
        <f>221*0.8</f>
        <v>176.80000000000001</v>
      </c>
      <c r="E11" s="148">
        <f>1321*0.8</f>
        <v>1056.8</v>
      </c>
      <c r="F11" s="148">
        <f>147*0.8</f>
        <v>117.60000000000001</v>
      </c>
      <c r="G11" s="148">
        <f>89*0.8</f>
        <v>71.200000000000003</v>
      </c>
      <c r="H11" s="152"/>
      <c r="I11" s="152"/>
      <c r="J11" s="152"/>
      <c r="K11" s="153"/>
    </row>
    <row r="12" ht="14.25">
      <c r="A12" s="147" t="s">
        <v>349</v>
      </c>
      <c r="B12" s="148">
        <v>1803</v>
      </c>
      <c r="C12" s="148">
        <f>138*0.8</f>
        <v>110.40000000000001</v>
      </c>
      <c r="D12" s="148">
        <f>672*0.8</f>
        <v>537.60000000000002</v>
      </c>
      <c r="E12" s="148">
        <f>849*0.8</f>
        <v>679.20000000000005</v>
      </c>
      <c r="F12" s="148">
        <v>0</v>
      </c>
      <c r="G12" s="148">
        <f>144*0.8</f>
        <v>115.2</v>
      </c>
      <c r="H12" s="152"/>
      <c r="I12" s="152"/>
      <c r="J12" s="152"/>
      <c r="K12" s="153"/>
    </row>
    <row r="13" ht="14.25">
      <c r="A13" s="147" t="s">
        <v>350</v>
      </c>
      <c r="B13" s="148">
        <v>1863</v>
      </c>
      <c r="C13" s="148">
        <v>417</v>
      </c>
      <c r="D13" s="148">
        <v>1334</v>
      </c>
      <c r="E13" s="148">
        <v>130</v>
      </c>
      <c r="F13" s="148">
        <v>636</v>
      </c>
      <c r="G13" s="148">
        <v>145</v>
      </c>
      <c r="H13" s="152"/>
      <c r="I13" s="152"/>
      <c r="J13" s="152"/>
      <c r="K13" s="153"/>
    </row>
    <row r="14" ht="14.25">
      <c r="A14" s="147" t="s">
        <v>351</v>
      </c>
      <c r="B14" s="148">
        <f t="shared" ref="B14:B16" si="1">SUM(C14:G14)</f>
        <v>2049</v>
      </c>
      <c r="C14" s="148">
        <v>519</v>
      </c>
      <c r="D14" s="148">
        <v>795</v>
      </c>
      <c r="E14" s="148">
        <v>0</v>
      </c>
      <c r="F14" s="148">
        <v>525</v>
      </c>
      <c r="G14" s="148">
        <v>210</v>
      </c>
      <c r="H14" s="152"/>
      <c r="I14" s="152"/>
      <c r="J14" s="152"/>
      <c r="K14" s="153"/>
    </row>
    <row r="15" ht="14.25">
      <c r="A15" s="147" t="s">
        <v>352</v>
      </c>
      <c r="B15" s="148">
        <f t="shared" si="1"/>
        <v>2043</v>
      </c>
      <c r="C15" s="148">
        <v>495</v>
      </c>
      <c r="D15" s="148">
        <v>396</v>
      </c>
      <c r="E15" s="148">
        <v>617</v>
      </c>
      <c r="F15" s="148">
        <v>359</v>
      </c>
      <c r="G15" s="148">
        <v>176</v>
      </c>
      <c r="H15" s="152"/>
      <c r="I15" s="152"/>
      <c r="J15" s="152"/>
      <c r="K15" s="153"/>
    </row>
    <row r="16" ht="14.25">
      <c r="A16" s="147" t="s">
        <v>353</v>
      </c>
      <c r="B16" s="148">
        <f t="shared" si="1"/>
        <v>2649</v>
      </c>
      <c r="C16" s="148">
        <v>583</v>
      </c>
      <c r="D16" s="148">
        <v>541</v>
      </c>
      <c r="E16" s="148">
        <v>437</v>
      </c>
      <c r="F16" s="148">
        <v>821</v>
      </c>
      <c r="G16" s="148">
        <v>267</v>
      </c>
      <c r="H16" s="152"/>
      <c r="I16" s="152"/>
      <c r="J16" s="152"/>
      <c r="K16" s="153"/>
    </row>
    <row r="17" ht="14.25">
      <c r="A17" s="147" t="s">
        <v>354</v>
      </c>
      <c r="B17" s="148">
        <f t="shared" ref="B17:B19" si="2">SUM(C17:I17)</f>
        <v>1716</v>
      </c>
      <c r="C17" s="148">
        <v>190</v>
      </c>
      <c r="D17" s="148">
        <v>299</v>
      </c>
      <c r="E17" s="148">
        <v>559</v>
      </c>
      <c r="F17" s="148">
        <v>423</v>
      </c>
      <c r="G17" s="148">
        <v>140</v>
      </c>
      <c r="H17" s="148">
        <v>89</v>
      </c>
      <c r="I17" s="148">
        <v>16</v>
      </c>
      <c r="J17" s="152"/>
      <c r="K17" s="153"/>
    </row>
    <row r="18" ht="14.25">
      <c r="A18" s="147" t="s">
        <v>355</v>
      </c>
      <c r="B18" s="148">
        <f t="shared" si="2"/>
        <v>2037</v>
      </c>
      <c r="C18" s="148">
        <v>252</v>
      </c>
      <c r="D18" s="148">
        <v>260</v>
      </c>
      <c r="E18" s="148">
        <v>419</v>
      </c>
      <c r="F18" s="148">
        <v>377</v>
      </c>
      <c r="G18" s="148">
        <v>252</v>
      </c>
      <c r="H18" s="148">
        <v>418</v>
      </c>
      <c r="I18" s="148">
        <v>59</v>
      </c>
      <c r="J18" s="152"/>
      <c r="K18" s="153"/>
    </row>
    <row r="19" ht="14.25">
      <c r="A19" s="147" t="s">
        <v>356</v>
      </c>
      <c r="B19" s="148">
        <f t="shared" si="2"/>
        <v>2966</v>
      </c>
      <c r="C19" s="148">
        <v>293</v>
      </c>
      <c r="D19" s="148">
        <v>612</v>
      </c>
      <c r="E19" s="148">
        <v>708</v>
      </c>
      <c r="F19" s="148">
        <v>687</v>
      </c>
      <c r="G19" s="148">
        <v>355</v>
      </c>
      <c r="H19" s="148">
        <v>195</v>
      </c>
      <c r="I19" s="148">
        <v>116</v>
      </c>
      <c r="J19" s="152"/>
      <c r="K19" s="153"/>
    </row>
    <row r="20" ht="14.25">
      <c r="A20" s="147" t="s">
        <v>357</v>
      </c>
      <c r="B20" s="148">
        <f t="shared" ref="B20:B37" si="3">SUM(C20:K20)</f>
        <v>3100</v>
      </c>
      <c r="C20" s="148">
        <v>608</v>
      </c>
      <c r="D20" s="148">
        <v>270</v>
      </c>
      <c r="E20" s="148">
        <v>832</v>
      </c>
      <c r="F20" s="148">
        <v>817</v>
      </c>
      <c r="G20" s="148">
        <v>214</v>
      </c>
      <c r="H20" s="148">
        <v>43</v>
      </c>
      <c r="I20" s="148">
        <v>205</v>
      </c>
      <c r="J20" s="152"/>
      <c r="K20" s="154">
        <v>111</v>
      </c>
    </row>
    <row r="21" ht="14.25">
      <c r="A21" s="147" t="s">
        <v>358</v>
      </c>
      <c r="B21" s="148">
        <f t="shared" si="3"/>
        <v>2179</v>
      </c>
      <c r="C21" s="148">
        <v>435</v>
      </c>
      <c r="D21" s="148">
        <v>167</v>
      </c>
      <c r="E21" s="148">
        <v>609</v>
      </c>
      <c r="F21" s="148">
        <v>445</v>
      </c>
      <c r="G21" s="148">
        <v>118</v>
      </c>
      <c r="H21" s="148">
        <v>67</v>
      </c>
      <c r="I21" s="148">
        <v>180</v>
      </c>
      <c r="J21" s="152"/>
      <c r="K21" s="154">
        <v>158</v>
      </c>
    </row>
    <row r="22" ht="14.25">
      <c r="A22" s="155" t="s">
        <v>359</v>
      </c>
      <c r="B22" s="156">
        <f t="shared" si="3"/>
        <v>2161</v>
      </c>
      <c r="C22" s="156">
        <v>316</v>
      </c>
      <c r="D22" s="156">
        <v>148</v>
      </c>
      <c r="E22" s="156">
        <v>552</v>
      </c>
      <c r="F22" s="156">
        <v>505</v>
      </c>
      <c r="G22" s="156">
        <v>181</v>
      </c>
      <c r="H22" s="156">
        <v>220</v>
      </c>
      <c r="I22" s="156">
        <v>88</v>
      </c>
      <c r="J22" s="157"/>
      <c r="K22" s="158">
        <v>151</v>
      </c>
    </row>
    <row r="23" ht="14.25">
      <c r="A23" s="155" t="s">
        <v>360</v>
      </c>
      <c r="B23" s="156">
        <v>3210</v>
      </c>
      <c r="C23" s="156">
        <v>69</v>
      </c>
      <c r="D23" s="156">
        <v>432</v>
      </c>
      <c r="E23" s="156">
        <v>1411</v>
      </c>
      <c r="F23" s="156">
        <v>243</v>
      </c>
      <c r="G23" s="156">
        <v>256</v>
      </c>
      <c r="H23" s="156">
        <v>456</v>
      </c>
      <c r="I23" s="156">
        <v>27</v>
      </c>
      <c r="J23" s="157"/>
      <c r="K23" s="158">
        <v>316</v>
      </c>
    </row>
    <row r="24" ht="14.25">
      <c r="A24" s="155" t="s">
        <v>361</v>
      </c>
      <c r="B24" s="156">
        <v>2056</v>
      </c>
      <c r="C24" s="156">
        <v>263</v>
      </c>
      <c r="D24" s="156">
        <v>70</v>
      </c>
      <c r="E24" s="156">
        <v>1054</v>
      </c>
      <c r="F24" s="156">
        <v>0</v>
      </c>
      <c r="G24" s="156">
        <v>440</v>
      </c>
      <c r="H24" s="156">
        <v>31</v>
      </c>
      <c r="I24" s="156">
        <v>26</v>
      </c>
      <c r="J24" s="157"/>
      <c r="K24" s="158">
        <v>172</v>
      </c>
    </row>
    <row r="25" ht="14.25">
      <c r="A25" s="155" t="s">
        <v>362</v>
      </c>
      <c r="B25" s="156">
        <v>3246</v>
      </c>
      <c r="C25" s="156">
        <v>608</v>
      </c>
      <c r="D25" s="156">
        <v>398</v>
      </c>
      <c r="E25" s="156">
        <v>311</v>
      </c>
      <c r="F25" s="156">
        <v>953</v>
      </c>
      <c r="G25" s="156">
        <v>347</v>
      </c>
      <c r="H25" s="156">
        <v>183</v>
      </c>
      <c r="I25" s="156">
        <v>147</v>
      </c>
      <c r="J25" s="157"/>
      <c r="K25" s="158">
        <v>299</v>
      </c>
    </row>
    <row r="26" ht="14.25">
      <c r="A26" s="155" t="s">
        <v>363</v>
      </c>
      <c r="B26" s="156">
        <f t="shared" si="3"/>
        <v>2204</v>
      </c>
      <c r="C26" s="156">
        <v>372</v>
      </c>
      <c r="D26" s="156">
        <v>324</v>
      </c>
      <c r="E26" s="156">
        <v>155</v>
      </c>
      <c r="F26" s="156">
        <v>672</v>
      </c>
      <c r="G26" s="156">
        <v>260</v>
      </c>
      <c r="H26" s="156">
        <v>130</v>
      </c>
      <c r="I26" s="156">
        <v>160</v>
      </c>
      <c r="J26" s="157"/>
      <c r="K26" s="158">
        <v>131</v>
      </c>
    </row>
    <row r="27" ht="14.25">
      <c r="A27" s="155" t="s">
        <v>364</v>
      </c>
      <c r="B27" s="156">
        <f t="shared" si="3"/>
        <v>1834</v>
      </c>
      <c r="C27" s="156">
        <v>210</v>
      </c>
      <c r="D27" s="156">
        <v>253</v>
      </c>
      <c r="E27" s="156">
        <v>418</v>
      </c>
      <c r="F27" s="156">
        <v>543</v>
      </c>
      <c r="G27" s="156">
        <v>211</v>
      </c>
      <c r="H27" s="156">
        <v>85</v>
      </c>
      <c r="I27" s="156">
        <v>54</v>
      </c>
      <c r="J27" s="157"/>
      <c r="K27" s="158">
        <v>60</v>
      </c>
    </row>
    <row r="28" ht="14.25">
      <c r="A28" s="159" t="s">
        <v>11</v>
      </c>
      <c r="B28" s="156">
        <v>3467</v>
      </c>
      <c r="C28" s="156">
        <v>446</v>
      </c>
      <c r="D28" s="156">
        <v>167</v>
      </c>
      <c r="E28" s="156">
        <v>1067</v>
      </c>
      <c r="F28" s="156">
        <v>978</v>
      </c>
      <c r="G28" s="156">
        <v>55</v>
      </c>
      <c r="H28" s="156">
        <v>165</v>
      </c>
      <c r="I28" s="156">
        <v>144</v>
      </c>
      <c r="J28" s="157"/>
      <c r="K28" s="158">
        <v>445</v>
      </c>
    </row>
    <row r="29" ht="14.25">
      <c r="A29" s="159" t="s">
        <v>365</v>
      </c>
      <c r="B29" s="156">
        <v>1908</v>
      </c>
      <c r="C29" s="160">
        <v>283</v>
      </c>
      <c r="D29" s="160">
        <v>94</v>
      </c>
      <c r="E29" s="160">
        <v>1068</v>
      </c>
      <c r="F29" s="160">
        <v>603</v>
      </c>
      <c r="G29" s="160">
        <v>168</v>
      </c>
      <c r="H29" s="160">
        <v>171</v>
      </c>
      <c r="I29" s="160">
        <v>143</v>
      </c>
      <c r="J29" s="161"/>
      <c r="K29" s="162">
        <v>196</v>
      </c>
    </row>
    <row r="30" ht="14.25">
      <c r="A30" s="159" t="s">
        <v>366</v>
      </c>
      <c r="B30" s="156">
        <f t="shared" si="3"/>
        <v>1694</v>
      </c>
      <c r="C30" s="160">
        <v>212</v>
      </c>
      <c r="D30" s="160">
        <v>121</v>
      </c>
      <c r="E30" s="160">
        <v>452</v>
      </c>
      <c r="F30" s="160">
        <v>371</v>
      </c>
      <c r="G30" s="160">
        <v>174</v>
      </c>
      <c r="H30" s="160">
        <v>96</v>
      </c>
      <c r="I30" s="160">
        <v>89</v>
      </c>
      <c r="J30" s="161"/>
      <c r="K30" s="162">
        <v>179</v>
      </c>
    </row>
    <row r="31" ht="14.25">
      <c r="A31" s="163" t="s">
        <v>367</v>
      </c>
      <c r="B31" s="164">
        <v>1310</v>
      </c>
      <c r="C31" s="165">
        <v>282</v>
      </c>
      <c r="D31" s="165">
        <v>153</v>
      </c>
      <c r="E31" s="165">
        <v>479</v>
      </c>
      <c r="F31" s="165">
        <v>356</v>
      </c>
      <c r="G31" s="165">
        <v>137</v>
      </c>
      <c r="H31" s="165">
        <v>244</v>
      </c>
      <c r="I31" s="165">
        <v>28</v>
      </c>
      <c r="J31" s="166"/>
      <c r="K31" s="167">
        <v>192</v>
      </c>
    </row>
    <row r="32" ht="14.25">
      <c r="A32" s="163" t="s">
        <v>368</v>
      </c>
      <c r="B32" s="164">
        <f t="shared" si="3"/>
        <v>2269</v>
      </c>
      <c r="C32" s="165">
        <v>198</v>
      </c>
      <c r="D32" s="165">
        <v>214</v>
      </c>
      <c r="E32" s="165">
        <v>583</v>
      </c>
      <c r="F32" s="165">
        <v>645</v>
      </c>
      <c r="G32" s="165">
        <v>194</v>
      </c>
      <c r="H32" s="165">
        <v>186</v>
      </c>
      <c r="I32" s="165">
        <v>84</v>
      </c>
      <c r="J32" s="166"/>
      <c r="K32" s="167">
        <v>165</v>
      </c>
    </row>
    <row r="33" ht="14.25">
      <c r="A33" s="163" t="s">
        <v>369</v>
      </c>
      <c r="B33" s="164">
        <f t="shared" si="3"/>
        <v>1554</v>
      </c>
      <c r="C33" s="165">
        <v>188</v>
      </c>
      <c r="D33" s="165">
        <v>166</v>
      </c>
      <c r="E33" s="165">
        <v>358</v>
      </c>
      <c r="F33" s="165">
        <v>293</v>
      </c>
      <c r="G33" s="165">
        <v>197</v>
      </c>
      <c r="H33" s="165">
        <v>128</v>
      </c>
      <c r="I33" s="165">
        <v>76</v>
      </c>
      <c r="J33" s="166"/>
      <c r="K33" s="167">
        <v>148</v>
      </c>
      <c r="L33" s="138"/>
    </row>
    <row r="34" ht="14.25">
      <c r="A34" s="168" t="s">
        <v>370</v>
      </c>
      <c r="B34" s="164">
        <f t="shared" si="3"/>
        <v>1203</v>
      </c>
      <c r="C34" s="164">
        <v>173</v>
      </c>
      <c r="D34" s="164">
        <v>87</v>
      </c>
      <c r="E34" s="164">
        <v>7</v>
      </c>
      <c r="F34" s="164">
        <v>520</v>
      </c>
      <c r="G34" s="164">
        <v>130</v>
      </c>
      <c r="H34" s="164">
        <v>154</v>
      </c>
      <c r="I34" s="164">
        <v>101</v>
      </c>
      <c r="J34" s="169"/>
      <c r="K34" s="170">
        <v>31</v>
      </c>
    </row>
    <row r="35" ht="14.25">
      <c r="A35" s="168" t="s">
        <v>371</v>
      </c>
      <c r="B35" s="164">
        <f t="shared" si="3"/>
        <v>2350</v>
      </c>
      <c r="C35" s="164">
        <v>354</v>
      </c>
      <c r="D35" s="164">
        <v>99</v>
      </c>
      <c r="E35" s="164">
        <v>501</v>
      </c>
      <c r="F35" s="164">
        <v>431</v>
      </c>
      <c r="G35" s="164">
        <v>448</v>
      </c>
      <c r="H35" s="164">
        <v>180</v>
      </c>
      <c r="I35" s="164">
        <v>171</v>
      </c>
      <c r="J35" s="164">
        <v>134</v>
      </c>
      <c r="K35" s="171">
        <v>32</v>
      </c>
    </row>
    <row r="36" ht="14.25">
      <c r="A36" s="172" t="s">
        <v>372</v>
      </c>
      <c r="B36" s="173">
        <f t="shared" si="3"/>
        <v>2209</v>
      </c>
      <c r="C36" s="174">
        <v>49</v>
      </c>
      <c r="D36" s="174">
        <v>803</v>
      </c>
      <c r="E36" s="174">
        <v>677</v>
      </c>
      <c r="F36" s="174">
        <v>46</v>
      </c>
      <c r="G36" s="174">
        <v>122</v>
      </c>
      <c r="H36" s="174">
        <v>45</v>
      </c>
      <c r="I36" s="174">
        <v>69</v>
      </c>
      <c r="J36" s="174">
        <v>192</v>
      </c>
      <c r="K36" s="174">
        <v>206</v>
      </c>
    </row>
    <row r="37" ht="14.25">
      <c r="A37" s="175" t="s">
        <v>373</v>
      </c>
      <c r="B37" s="173">
        <f t="shared" si="3"/>
        <v>2975</v>
      </c>
      <c r="C37" s="176">
        <v>73</v>
      </c>
      <c r="D37" s="177">
        <v>513</v>
      </c>
      <c r="E37" s="177">
        <v>1104</v>
      </c>
      <c r="F37" s="177">
        <v>378</v>
      </c>
      <c r="G37" s="177">
        <v>29</v>
      </c>
      <c r="H37" s="177">
        <v>325</v>
      </c>
      <c r="I37" s="177">
        <v>89</v>
      </c>
      <c r="J37" s="177">
        <v>151</v>
      </c>
      <c r="K37" s="177">
        <v>313</v>
      </c>
    </row>
    <row r="38" s="178" customFormat="1" ht="90" customHeight="1">
      <c r="A38" s="179" t="s">
        <v>374</v>
      </c>
      <c r="B38" s="180" t="s">
        <v>375</v>
      </c>
      <c r="C38" s="180"/>
      <c r="D38" s="180"/>
      <c r="E38" s="180"/>
      <c r="F38" s="180"/>
      <c r="G38" s="180"/>
      <c r="H38" s="180"/>
      <c r="I38" s="180"/>
      <c r="J38" s="181"/>
      <c r="K38" s="181" t="s">
        <v>376</v>
      </c>
      <c r="L38" s="181"/>
      <c r="M38" s="181"/>
      <c r="N38" s="181"/>
      <c r="O38" s="181"/>
      <c r="P38" s="178"/>
    </row>
    <row r="39" s="182" customFormat="1" ht="252" customHeight="1">
      <c r="A39" s="183" t="s">
        <v>332</v>
      </c>
      <c r="B39" s="184" t="s">
        <v>377</v>
      </c>
      <c r="C39" s="185"/>
      <c r="D39" s="185"/>
      <c r="E39" s="185"/>
      <c r="F39" s="185"/>
      <c r="G39" s="185"/>
      <c r="H39" s="185"/>
      <c r="I39" s="186"/>
      <c r="J39" s="187" t="s">
        <v>378</v>
      </c>
      <c r="K39" s="187"/>
      <c r="L39" s="187"/>
      <c r="M39" s="187"/>
      <c r="N39" s="187"/>
      <c r="O39" s="188"/>
      <c r="P39" s="182"/>
    </row>
    <row r="40" s="182" customFormat="1" ht="294" customHeight="1">
      <c r="A40" s="183" t="s">
        <v>338</v>
      </c>
      <c r="B40" s="189" t="s">
        <v>379</v>
      </c>
      <c r="C40" s="189"/>
      <c r="D40" s="189"/>
      <c r="E40" s="189"/>
      <c r="F40" s="189"/>
      <c r="G40" s="189"/>
      <c r="H40" s="189"/>
      <c r="I40" s="189"/>
      <c r="J40" s="190" t="s">
        <v>380</v>
      </c>
      <c r="K40" s="191"/>
      <c r="L40" s="191"/>
      <c r="M40" s="191"/>
      <c r="N40" s="191"/>
      <c r="O40" s="192"/>
      <c r="P40" s="182"/>
    </row>
    <row r="41" s="182" customFormat="1" ht="189" customHeight="1">
      <c r="A41" s="193" t="s">
        <v>336</v>
      </c>
      <c r="B41" s="194" t="s">
        <v>381</v>
      </c>
      <c r="C41" s="194"/>
      <c r="D41" s="194"/>
      <c r="E41" s="194"/>
      <c r="F41" s="194"/>
      <c r="G41" s="194"/>
      <c r="H41" s="194"/>
      <c r="I41" s="194"/>
      <c r="J41" s="195" t="s">
        <v>382</v>
      </c>
      <c r="K41" s="196"/>
      <c r="L41" s="196"/>
      <c r="M41" s="196"/>
      <c r="N41" s="196"/>
      <c r="O41" s="197"/>
      <c r="P41" s="182"/>
    </row>
    <row r="42" s="182" customFormat="1" ht="261.75" customHeight="1">
      <c r="A42" s="193" t="s">
        <v>339</v>
      </c>
      <c r="B42" s="198" t="s">
        <v>383</v>
      </c>
      <c r="C42" s="199"/>
      <c r="D42" s="199"/>
      <c r="E42" s="199"/>
      <c r="F42" s="199"/>
      <c r="G42" s="199"/>
      <c r="H42" s="199"/>
      <c r="I42" s="200"/>
      <c r="J42" s="201" t="s">
        <v>384</v>
      </c>
      <c r="K42" s="202"/>
      <c r="L42" s="202"/>
      <c r="M42" s="202"/>
      <c r="N42" s="202"/>
      <c r="O42" s="203"/>
      <c r="P42" s="182"/>
    </row>
    <row r="43" s="182" customFormat="1" ht="95.25" customHeight="1">
      <c r="A43" s="183" t="s">
        <v>333</v>
      </c>
      <c r="B43" s="189" t="s">
        <v>385</v>
      </c>
      <c r="C43" s="189"/>
      <c r="D43" s="189"/>
      <c r="E43" s="189"/>
      <c r="F43" s="189"/>
      <c r="G43" s="189"/>
      <c r="H43" s="189"/>
      <c r="I43" s="189"/>
      <c r="J43" s="190" t="s">
        <v>386</v>
      </c>
      <c r="K43" s="191"/>
      <c r="L43" s="191"/>
      <c r="M43" s="191"/>
      <c r="N43" s="191"/>
      <c r="O43" s="192"/>
      <c r="P43" s="182"/>
    </row>
    <row r="44" s="182" customFormat="1" ht="78.75" customHeight="1">
      <c r="A44" s="183" t="s">
        <v>337</v>
      </c>
      <c r="B44" s="204" t="s">
        <v>387</v>
      </c>
      <c r="C44" s="205"/>
      <c r="D44" s="205"/>
      <c r="E44" s="205"/>
      <c r="F44" s="205"/>
      <c r="G44" s="205"/>
      <c r="H44" s="205"/>
      <c r="I44" s="206"/>
      <c r="J44" s="190" t="s">
        <v>388</v>
      </c>
      <c r="K44" s="191"/>
      <c r="L44" s="191"/>
      <c r="M44" s="191"/>
      <c r="N44" s="191"/>
      <c r="O44" s="192"/>
      <c r="P44" s="182"/>
    </row>
    <row r="45" s="178" customFormat="1" ht="63" customHeight="1">
      <c r="A45" s="183" t="s">
        <v>334</v>
      </c>
      <c r="B45" s="204" t="s">
        <v>389</v>
      </c>
      <c r="C45" s="205"/>
      <c r="D45" s="205"/>
      <c r="E45" s="205"/>
      <c r="F45" s="205"/>
      <c r="G45" s="205"/>
      <c r="H45" s="205"/>
      <c r="I45" s="206"/>
      <c r="J45" s="190" t="s">
        <v>390</v>
      </c>
      <c r="K45" s="191"/>
      <c r="L45" s="191"/>
      <c r="M45" s="191"/>
      <c r="N45" s="191"/>
      <c r="O45" s="192"/>
      <c r="P45" s="178"/>
    </row>
    <row r="46" s="178" customFormat="1" ht="14.25">
      <c r="A46" s="178"/>
      <c r="B46" s="178"/>
      <c r="C46" s="178"/>
      <c r="D46" s="178"/>
      <c r="E46" s="178"/>
      <c r="F46" s="178"/>
      <c r="G46" s="178"/>
      <c r="I46" s="178"/>
      <c r="J46" s="178"/>
      <c r="K46" s="178"/>
      <c r="L46" s="178"/>
      <c r="M46" s="178"/>
      <c r="P46" s="178"/>
    </row>
    <row r="47" s="178" customFormat="1" ht="14.25">
      <c r="A47" s="178"/>
      <c r="B47" s="178"/>
      <c r="C47" s="178"/>
      <c r="D47" s="178"/>
      <c r="E47" s="178"/>
      <c r="F47" s="178"/>
      <c r="G47" s="178"/>
      <c r="I47" s="178"/>
      <c r="J47" s="178"/>
      <c r="K47" s="178"/>
      <c r="L47" s="178"/>
      <c r="M47" s="178"/>
      <c r="P47" s="178"/>
    </row>
    <row r="48" s="178" customFormat="1" ht="14.25">
      <c r="A48" s="178"/>
      <c r="B48" s="178"/>
      <c r="C48" s="178"/>
      <c r="D48" s="178"/>
      <c r="E48" s="178"/>
      <c r="F48" s="178"/>
      <c r="G48" s="178"/>
      <c r="I48" s="178"/>
      <c r="J48" s="178"/>
      <c r="K48" s="178"/>
      <c r="L48" s="178"/>
      <c r="M48" s="178"/>
      <c r="P48" s="178"/>
    </row>
    <row r="49" s="178" customFormat="1" ht="14.25">
      <c r="A49" s="178"/>
      <c r="B49" s="178"/>
      <c r="C49" s="178"/>
      <c r="D49" s="178"/>
      <c r="E49" s="178"/>
      <c r="F49" s="178"/>
      <c r="G49" s="178"/>
      <c r="I49" s="178"/>
      <c r="J49" s="178"/>
      <c r="K49" s="178"/>
      <c r="L49" s="178"/>
      <c r="M49" s="178"/>
      <c r="P49" s="178"/>
    </row>
    <row r="50" s="178" customFormat="1" ht="14.25">
      <c r="A50" s="178"/>
      <c r="B50" s="178"/>
      <c r="C50" s="178"/>
      <c r="D50" s="178"/>
      <c r="E50" s="178"/>
      <c r="F50" s="178"/>
      <c r="G50" s="178"/>
      <c r="I50" s="178"/>
      <c r="J50" s="178"/>
      <c r="K50" s="178"/>
      <c r="L50" s="178"/>
      <c r="M50" s="178"/>
      <c r="P50" s="178"/>
    </row>
    <row r="51" s="178" customFormat="1" ht="14.25">
      <c r="A51" s="178"/>
      <c r="B51" s="178"/>
      <c r="C51" s="178"/>
      <c r="D51" s="178"/>
      <c r="E51" s="178"/>
      <c r="F51" s="178"/>
      <c r="G51" s="178"/>
      <c r="I51" s="178"/>
      <c r="J51" s="178"/>
      <c r="K51" s="178"/>
      <c r="L51" s="178"/>
      <c r="M51" s="178"/>
      <c r="P51" s="178"/>
    </row>
    <row r="52" s="178" customFormat="1" ht="14.25">
      <c r="A52" s="178"/>
      <c r="B52" s="178"/>
      <c r="C52" s="178"/>
      <c r="D52" s="178"/>
      <c r="E52" s="178"/>
      <c r="F52" s="178"/>
      <c r="G52" s="178"/>
      <c r="I52" s="178"/>
      <c r="J52" s="178"/>
      <c r="K52" s="178"/>
      <c r="L52" s="178"/>
      <c r="M52" s="178"/>
      <c r="P52" s="178"/>
    </row>
    <row r="53" s="178" customFormat="1" ht="14.25">
      <c r="A53" s="178"/>
      <c r="B53" s="178"/>
      <c r="C53" s="178"/>
      <c r="D53" s="178"/>
      <c r="E53" s="178"/>
      <c r="F53" s="178"/>
      <c r="G53" s="178"/>
      <c r="I53" s="178"/>
      <c r="J53" s="178"/>
      <c r="K53" s="178"/>
      <c r="L53" s="178"/>
      <c r="M53" s="178"/>
      <c r="P53" s="178"/>
    </row>
    <row r="54" s="178" customFormat="1" ht="14.25">
      <c r="A54" s="178"/>
      <c r="B54" s="178"/>
      <c r="C54" s="178"/>
      <c r="D54" s="178"/>
      <c r="E54" s="178"/>
      <c r="F54" s="178"/>
      <c r="G54" s="178"/>
      <c r="I54" s="178"/>
      <c r="J54" s="178"/>
      <c r="K54" s="178"/>
      <c r="L54" s="178"/>
      <c r="M54" s="178"/>
      <c r="P54" s="178"/>
    </row>
    <row r="55" s="178" customFormat="1" ht="14.25">
      <c r="A55" s="178"/>
      <c r="B55" s="178"/>
      <c r="C55" s="178"/>
      <c r="D55" s="178"/>
      <c r="E55" s="178"/>
      <c r="F55" s="178"/>
      <c r="G55" s="178"/>
      <c r="I55" s="178"/>
      <c r="J55" s="178"/>
      <c r="K55" s="178"/>
      <c r="L55" s="178"/>
      <c r="M55" s="178"/>
      <c r="P55" s="178"/>
    </row>
    <row r="56" s="178" customFormat="1" ht="14.25">
      <c r="A56" s="178"/>
      <c r="B56" s="178"/>
      <c r="C56" s="178"/>
      <c r="D56" s="178"/>
      <c r="E56" s="178"/>
      <c r="F56" s="178"/>
      <c r="G56" s="178"/>
      <c r="I56" s="178"/>
      <c r="J56" s="178"/>
      <c r="K56" s="178"/>
      <c r="L56" s="178"/>
      <c r="M56" s="178"/>
      <c r="P56" s="178"/>
    </row>
    <row r="57" s="178" customFormat="1" ht="14.25">
      <c r="A57" s="178"/>
      <c r="B57" s="178"/>
      <c r="C57" s="178"/>
      <c r="D57" s="178"/>
      <c r="E57" s="178"/>
      <c r="F57" s="178"/>
      <c r="G57" s="178"/>
      <c r="I57" s="178"/>
      <c r="J57" s="178"/>
      <c r="K57" s="178"/>
      <c r="L57" s="178"/>
      <c r="M57" s="178"/>
      <c r="P57" s="178"/>
    </row>
    <row r="58" s="178" customFormat="1" ht="14.25">
      <c r="A58" s="178"/>
      <c r="B58" s="178"/>
      <c r="C58" s="178"/>
      <c r="D58" s="178"/>
      <c r="E58" s="178"/>
      <c r="F58" s="178"/>
      <c r="G58" s="178"/>
      <c r="I58" s="178"/>
      <c r="J58" s="178"/>
      <c r="K58" s="178"/>
      <c r="L58" s="178"/>
      <c r="M58" s="178"/>
      <c r="P58" s="178"/>
    </row>
    <row r="59" s="178" customFormat="1" ht="14.25">
      <c r="A59" s="178"/>
      <c r="B59" s="178"/>
      <c r="C59" s="178"/>
      <c r="D59" s="178"/>
      <c r="E59" s="178"/>
      <c r="F59" s="178"/>
      <c r="G59" s="178"/>
      <c r="I59" s="178"/>
      <c r="J59" s="178"/>
      <c r="K59" s="178"/>
      <c r="L59" s="178"/>
      <c r="M59" s="178"/>
      <c r="P59" s="178"/>
    </row>
    <row r="60" s="178" customFormat="1" ht="14.25">
      <c r="A60" s="178"/>
      <c r="B60" s="178"/>
      <c r="C60" s="178"/>
      <c r="D60" s="178"/>
      <c r="E60" s="178"/>
      <c r="F60" s="178"/>
      <c r="G60" s="178"/>
      <c r="I60" s="178"/>
      <c r="J60" s="178"/>
      <c r="K60" s="178"/>
      <c r="L60" s="178"/>
      <c r="M60" s="178"/>
      <c r="P60" s="178"/>
    </row>
    <row r="61" s="178" customFormat="1" ht="14.25">
      <c r="A61" s="178"/>
      <c r="B61" s="178"/>
      <c r="C61" s="178"/>
      <c r="D61" s="178"/>
      <c r="E61" s="178"/>
      <c r="F61" s="178"/>
      <c r="G61" s="178"/>
      <c r="I61" s="178"/>
      <c r="J61" s="178"/>
      <c r="K61" s="178"/>
      <c r="L61" s="178"/>
      <c r="M61" s="178"/>
      <c r="P61" s="178"/>
    </row>
    <row r="62" s="178" customFormat="1" ht="14.25">
      <c r="A62" s="178"/>
      <c r="B62" s="178"/>
      <c r="C62" s="178"/>
      <c r="D62" s="178"/>
      <c r="E62" s="178"/>
      <c r="F62" s="178"/>
      <c r="G62" s="178"/>
      <c r="I62" s="178"/>
      <c r="J62" s="178"/>
      <c r="K62" s="178"/>
      <c r="L62" s="178"/>
      <c r="M62" s="178"/>
      <c r="P62" s="178"/>
    </row>
    <row r="63" s="178" customFormat="1" ht="14.25">
      <c r="A63" s="178"/>
      <c r="B63" s="178"/>
      <c r="C63" s="178"/>
      <c r="D63" s="178"/>
      <c r="E63" s="178"/>
      <c r="F63" s="178"/>
      <c r="G63" s="178"/>
      <c r="I63" s="178"/>
      <c r="J63" s="178"/>
      <c r="K63" s="178"/>
      <c r="L63" s="178"/>
      <c r="M63" s="178"/>
      <c r="P63" s="178"/>
    </row>
    <row r="64" s="178" customFormat="1" ht="14.25">
      <c r="A64" s="178"/>
      <c r="B64" s="178"/>
      <c r="C64" s="178"/>
      <c r="D64" s="178"/>
      <c r="E64" s="178"/>
      <c r="F64" s="178"/>
      <c r="G64" s="178"/>
      <c r="I64" s="178"/>
      <c r="J64" s="178"/>
      <c r="K64" s="178"/>
      <c r="L64" s="178"/>
      <c r="M64" s="178"/>
      <c r="P64" s="178"/>
    </row>
    <row r="65" s="178" customFormat="1" ht="14.25">
      <c r="A65" s="178"/>
      <c r="B65" s="178"/>
      <c r="C65" s="178"/>
      <c r="D65" s="178"/>
      <c r="E65" s="178"/>
      <c r="F65" s="178"/>
      <c r="G65" s="178"/>
      <c r="I65" s="178"/>
      <c r="J65" s="178"/>
      <c r="K65" s="178"/>
      <c r="L65" s="178"/>
      <c r="M65" s="178"/>
      <c r="P65" s="178"/>
    </row>
    <row r="66" s="207" customFormat="1" ht="14.25">
      <c r="A66" s="207"/>
      <c r="B66" s="207"/>
      <c r="C66" s="207"/>
      <c r="D66" s="207"/>
      <c r="E66" s="207"/>
      <c r="F66" s="207"/>
      <c r="G66" s="207"/>
      <c r="I66" s="207"/>
      <c r="J66" s="207"/>
      <c r="K66" s="207"/>
      <c r="L66" s="207"/>
      <c r="M66" s="207"/>
      <c r="P66" s="207"/>
    </row>
    <row r="67" s="207" customFormat="1" ht="14.25">
      <c r="A67" s="207"/>
      <c r="B67" s="207"/>
      <c r="C67" s="207"/>
      <c r="D67" s="207"/>
      <c r="E67" s="207"/>
      <c r="F67" s="207"/>
      <c r="G67" s="207"/>
      <c r="I67" s="207"/>
      <c r="J67" s="207"/>
      <c r="K67" s="207"/>
      <c r="L67" s="207"/>
      <c r="M67" s="207"/>
      <c r="P67" s="207"/>
    </row>
    <row r="68" s="207" customFormat="1" ht="14.25">
      <c r="A68" s="207"/>
      <c r="B68" s="207"/>
      <c r="C68" s="207"/>
      <c r="D68" s="207"/>
      <c r="E68" s="207"/>
      <c r="F68" s="207"/>
      <c r="G68" s="207"/>
      <c r="I68" s="207"/>
      <c r="J68" s="207"/>
      <c r="K68" s="207"/>
      <c r="L68" s="207"/>
      <c r="M68" s="207"/>
      <c r="P68" s="207"/>
    </row>
    <row r="69" s="207" customFormat="1" ht="14.25">
      <c r="A69" s="207"/>
      <c r="B69" s="207"/>
      <c r="C69" s="207"/>
      <c r="D69" s="207"/>
      <c r="E69" s="207"/>
      <c r="F69" s="207"/>
      <c r="G69" s="207"/>
      <c r="I69" s="207"/>
      <c r="J69" s="207"/>
      <c r="K69" s="207"/>
      <c r="L69" s="207"/>
      <c r="M69" s="207"/>
      <c r="P69" s="207"/>
    </row>
    <row r="70" s="207" customFormat="1" ht="14.25">
      <c r="A70" s="207"/>
      <c r="B70" s="207"/>
      <c r="C70" s="207"/>
      <c r="D70" s="207"/>
      <c r="E70" s="207"/>
      <c r="F70" s="207"/>
      <c r="G70" s="207"/>
      <c r="I70" s="207"/>
      <c r="J70" s="207"/>
      <c r="K70" s="207"/>
      <c r="L70" s="207"/>
      <c r="M70" s="207"/>
      <c r="P70" s="207"/>
    </row>
    <row r="71" s="207" customFormat="1" ht="14.25">
      <c r="A71" s="207"/>
      <c r="B71" s="207"/>
      <c r="C71" s="207"/>
      <c r="D71" s="207"/>
      <c r="E71" s="207"/>
      <c r="F71" s="207"/>
      <c r="G71" s="207"/>
      <c r="I71" s="207"/>
      <c r="J71" s="207"/>
      <c r="K71" s="207"/>
      <c r="L71" s="207"/>
      <c r="M71" s="207"/>
      <c r="P71" s="207"/>
    </row>
    <row r="72" s="207" customFormat="1" ht="14.25">
      <c r="A72" s="207"/>
      <c r="B72" s="207"/>
      <c r="C72" s="207"/>
      <c r="D72" s="207"/>
      <c r="E72" s="207"/>
      <c r="F72" s="207"/>
      <c r="G72" s="207"/>
      <c r="I72" s="207"/>
      <c r="J72" s="207"/>
      <c r="K72" s="207"/>
      <c r="L72" s="207"/>
      <c r="M72" s="207"/>
      <c r="P72" s="207"/>
    </row>
    <row r="73" s="207" customFormat="1" ht="14.25">
      <c r="A73" s="207"/>
      <c r="B73" s="207"/>
      <c r="C73" s="207"/>
      <c r="D73" s="207"/>
      <c r="E73" s="207"/>
      <c r="F73" s="207"/>
      <c r="G73" s="207"/>
      <c r="I73" s="207"/>
      <c r="J73" s="207"/>
      <c r="K73" s="207"/>
      <c r="L73" s="207"/>
      <c r="M73" s="207"/>
      <c r="P73" s="207"/>
    </row>
    <row r="74" s="207" customFormat="1" ht="14.25">
      <c r="A74" s="207"/>
      <c r="B74" s="207"/>
      <c r="C74" s="207"/>
      <c r="D74" s="207"/>
      <c r="E74" s="207"/>
      <c r="F74" s="207"/>
      <c r="G74" s="207"/>
      <c r="I74" s="207"/>
      <c r="J74" s="207"/>
      <c r="K74" s="207"/>
      <c r="L74" s="207"/>
      <c r="M74" s="207"/>
      <c r="P74" s="207"/>
    </row>
    <row r="75" s="207" customFormat="1" ht="14.25">
      <c r="A75" s="207"/>
      <c r="B75" s="207"/>
      <c r="C75" s="207"/>
      <c r="D75" s="207"/>
      <c r="E75" s="207"/>
      <c r="F75" s="207"/>
      <c r="G75" s="207"/>
      <c r="I75" s="207"/>
      <c r="J75" s="207"/>
      <c r="K75" s="207"/>
      <c r="L75" s="207"/>
      <c r="M75" s="207"/>
      <c r="P75" s="207"/>
    </row>
    <row r="76" s="207" customFormat="1" ht="14.25">
      <c r="A76" s="207"/>
      <c r="B76" s="207"/>
      <c r="C76" s="207"/>
      <c r="D76" s="207"/>
      <c r="E76" s="207"/>
      <c r="F76" s="207"/>
      <c r="G76" s="207"/>
      <c r="I76" s="207"/>
      <c r="J76" s="207"/>
      <c r="K76" s="207"/>
      <c r="L76" s="207"/>
      <c r="M76" s="207"/>
      <c r="P76" s="207"/>
    </row>
    <row r="77" s="207" customFormat="1" ht="14.25">
      <c r="A77" s="207"/>
      <c r="B77" s="207"/>
      <c r="C77" s="207"/>
      <c r="D77" s="207"/>
      <c r="E77" s="207"/>
      <c r="F77" s="207"/>
      <c r="G77" s="207"/>
      <c r="I77" s="207"/>
      <c r="J77" s="207"/>
      <c r="K77" s="207"/>
      <c r="L77" s="207"/>
      <c r="M77" s="207"/>
      <c r="P77" s="207"/>
    </row>
    <row r="78" s="207" customFormat="1" ht="14.25">
      <c r="A78" s="207"/>
      <c r="B78" s="207"/>
      <c r="C78" s="207"/>
      <c r="D78" s="207"/>
      <c r="E78" s="207"/>
      <c r="F78" s="207"/>
      <c r="G78" s="207"/>
      <c r="I78" s="207"/>
      <c r="J78" s="207"/>
      <c r="K78" s="207"/>
      <c r="L78" s="207"/>
      <c r="M78" s="207"/>
      <c r="P78" s="207"/>
    </row>
    <row r="79" s="207" customFormat="1" ht="14.25">
      <c r="A79" s="207"/>
      <c r="B79" s="207"/>
      <c r="C79" s="207"/>
      <c r="D79" s="207"/>
      <c r="E79" s="207"/>
      <c r="F79" s="207"/>
      <c r="G79" s="207"/>
      <c r="I79" s="207"/>
      <c r="J79" s="207"/>
      <c r="K79" s="207"/>
      <c r="L79" s="207"/>
      <c r="M79" s="207"/>
      <c r="P79" s="207"/>
    </row>
    <row r="80" s="207" customFormat="1" ht="14.25">
      <c r="A80" s="207"/>
      <c r="B80" s="207"/>
      <c r="C80" s="207"/>
      <c r="D80" s="207"/>
      <c r="E80" s="207"/>
      <c r="F80" s="207"/>
      <c r="G80" s="207"/>
      <c r="I80" s="207"/>
      <c r="J80" s="207"/>
      <c r="K80" s="207"/>
      <c r="L80" s="207"/>
      <c r="M80" s="207"/>
      <c r="P80" s="207"/>
    </row>
    <row r="81" s="207" customFormat="1" ht="14.25">
      <c r="A81" s="207"/>
      <c r="B81" s="207"/>
      <c r="C81" s="207"/>
      <c r="D81" s="207"/>
      <c r="E81" s="207"/>
      <c r="F81" s="207"/>
      <c r="G81" s="207"/>
      <c r="I81" s="207"/>
      <c r="J81" s="207"/>
      <c r="K81" s="207"/>
      <c r="L81" s="207"/>
      <c r="M81" s="207"/>
      <c r="P81" s="207"/>
    </row>
    <row r="82" s="207" customFormat="1" ht="14.25">
      <c r="A82" s="207"/>
      <c r="B82" s="207"/>
      <c r="C82" s="207"/>
      <c r="D82" s="207"/>
      <c r="E82" s="207"/>
      <c r="F82" s="207"/>
      <c r="G82" s="207"/>
      <c r="I82" s="207"/>
      <c r="J82" s="207"/>
      <c r="K82" s="207"/>
      <c r="L82" s="207"/>
      <c r="M82" s="207"/>
      <c r="P82" s="207"/>
    </row>
  </sheetData>
  <mergeCells count="17">
    <mergeCell ref="A1:K1"/>
    <mergeCell ref="B38:I38"/>
    <mergeCell ref="K38:O38"/>
    <mergeCell ref="B39:I39"/>
    <mergeCell ref="J39:O39"/>
    <mergeCell ref="B40:I40"/>
    <mergeCell ref="J40:O40"/>
    <mergeCell ref="B41:I41"/>
    <mergeCell ref="J41:O41"/>
    <mergeCell ref="B42:I42"/>
    <mergeCell ref="J42:O42"/>
    <mergeCell ref="B43:I43"/>
    <mergeCell ref="J43:O43"/>
    <mergeCell ref="B44:I44"/>
    <mergeCell ref="J44:O44"/>
    <mergeCell ref="B45:I45"/>
    <mergeCell ref="J45:O45"/>
  </mergeCells>
  <printOptions headings="0" gridLines="0"/>
  <pageMargins left="0.70069444444444484" right="0.70069444444444484" top="0.75208333333333299" bottom="0.75208333333333299" header="0.51181102362204689" footer="0.51181102362204689"/>
  <pageSetup paperSize="9" scale="57" firstPageNumber="1" fitToWidth="1" fitToHeight="0" pageOrder="downThenOver" orientation="landscape" usePrinterDefaults="1" blackAndWhite="0" draft="0" cellComments="none" useFirstPageNumber="1" errors="displayed" horizontalDpi="300" verticalDpi="300" copies="1"/>
  <headerFooter/>
  <drawing r:id="rId1"/>
</worksheet>
</file>

<file path=docProps/app.xml><?xml version="1.0" encoding="utf-8"?>
<Properties xmlns="http://schemas.openxmlformats.org/officeDocument/2006/extended-properties" xmlns:vt="http://schemas.openxmlformats.org/officeDocument/2006/docPropsVTypes">
  <Application>Р7-Офис/2026.1.2.1942</Application>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Администратор безопасности</dc:creator>
  <dc:description/>
  <dc:language>ru-RU</dc:language>
  <cp:lastModifiedBy>mdsapogov</cp:lastModifiedBy>
  <cp:revision>102</cp:revision>
  <dcterms:created xsi:type="dcterms:W3CDTF">2024-08-22T13:00:27Z</dcterms:created>
  <dcterms:modified xsi:type="dcterms:W3CDTF">2026-09-25T03:51:23Z</dcterms:modified>
</cp:coreProperties>
</file>